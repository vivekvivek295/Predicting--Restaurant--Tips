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180" windowHeight="8040"/>
  </bookViews>
  <sheets>
    <sheet name="pivot chart" sheetId="6" r:id="rId1"/>
    <sheet name="Table" sheetId="16" r:id="rId2"/>
    <sheet name="Regression" sheetId="17" r:id="rId3"/>
    <sheet name="tips" sheetId="1" r:id="rId4"/>
  </sheet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7" l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" i="1"/>
  <c r="H10" i="16" l="1"/>
  <c r="G9" i="16"/>
  <c r="F8" i="16"/>
  <c r="L3" i="1" l="1"/>
  <c r="AA3" i="1" s="1"/>
  <c r="L4" i="1"/>
  <c r="AA4" i="1" s="1"/>
  <c r="L5" i="1"/>
  <c r="AA5" i="1" s="1"/>
  <c r="L6" i="1"/>
  <c r="AA6" i="1" s="1"/>
  <c r="L7" i="1"/>
  <c r="AA7" i="1" s="1"/>
  <c r="L8" i="1"/>
  <c r="AA8" i="1" s="1"/>
  <c r="L9" i="1"/>
  <c r="AA9" i="1" s="1"/>
  <c r="L10" i="1"/>
  <c r="AA10" i="1" s="1"/>
  <c r="L11" i="1"/>
  <c r="AA11" i="1" s="1"/>
  <c r="L12" i="1"/>
  <c r="AA12" i="1" s="1"/>
  <c r="L13" i="1"/>
  <c r="AA13" i="1" s="1"/>
  <c r="L14" i="1"/>
  <c r="AA14" i="1" s="1"/>
  <c r="L15" i="1"/>
  <c r="AA15" i="1" s="1"/>
  <c r="L16" i="1"/>
  <c r="AA16" i="1" s="1"/>
  <c r="L17" i="1"/>
  <c r="AA17" i="1" s="1"/>
  <c r="L18" i="1"/>
  <c r="AA18" i="1" s="1"/>
  <c r="L19" i="1"/>
  <c r="AA19" i="1" s="1"/>
  <c r="L20" i="1"/>
  <c r="AA20" i="1" s="1"/>
  <c r="L21" i="1"/>
  <c r="AA21" i="1" s="1"/>
  <c r="L22" i="1"/>
  <c r="AA22" i="1" s="1"/>
  <c r="L23" i="1"/>
  <c r="AA23" i="1" s="1"/>
  <c r="L24" i="1"/>
  <c r="AA24" i="1" s="1"/>
  <c r="L25" i="1"/>
  <c r="AA25" i="1" s="1"/>
  <c r="L26" i="1"/>
  <c r="AA26" i="1" s="1"/>
  <c r="L27" i="1"/>
  <c r="AA27" i="1" s="1"/>
  <c r="L28" i="1"/>
  <c r="AA28" i="1" s="1"/>
  <c r="L29" i="1"/>
  <c r="AA29" i="1" s="1"/>
  <c r="L30" i="1"/>
  <c r="AA30" i="1" s="1"/>
  <c r="L31" i="1"/>
  <c r="AA31" i="1" s="1"/>
  <c r="L32" i="1"/>
  <c r="AA32" i="1" s="1"/>
  <c r="L33" i="1"/>
  <c r="AA33" i="1" s="1"/>
  <c r="L34" i="1"/>
  <c r="AA34" i="1" s="1"/>
  <c r="L35" i="1"/>
  <c r="AA35" i="1" s="1"/>
  <c r="L36" i="1"/>
  <c r="AA36" i="1" s="1"/>
  <c r="L37" i="1"/>
  <c r="AA37" i="1" s="1"/>
  <c r="L38" i="1"/>
  <c r="AA38" i="1" s="1"/>
  <c r="L39" i="1"/>
  <c r="AA39" i="1" s="1"/>
  <c r="L40" i="1"/>
  <c r="AA40" i="1" s="1"/>
  <c r="L41" i="1"/>
  <c r="AA41" i="1" s="1"/>
  <c r="L42" i="1"/>
  <c r="AA42" i="1" s="1"/>
  <c r="L43" i="1"/>
  <c r="AA43" i="1" s="1"/>
  <c r="L44" i="1"/>
  <c r="AA44" i="1" s="1"/>
  <c r="L45" i="1"/>
  <c r="AA45" i="1" s="1"/>
  <c r="L46" i="1"/>
  <c r="AA46" i="1" s="1"/>
  <c r="L47" i="1"/>
  <c r="AA47" i="1" s="1"/>
  <c r="L48" i="1"/>
  <c r="AA48" i="1" s="1"/>
  <c r="L49" i="1"/>
  <c r="AA49" i="1" s="1"/>
  <c r="L50" i="1"/>
  <c r="AA50" i="1" s="1"/>
  <c r="L51" i="1"/>
  <c r="AA51" i="1" s="1"/>
  <c r="L52" i="1"/>
  <c r="AA52" i="1" s="1"/>
  <c r="L53" i="1"/>
  <c r="AA53" i="1" s="1"/>
  <c r="L54" i="1"/>
  <c r="AA54" i="1" s="1"/>
  <c r="L55" i="1"/>
  <c r="AA55" i="1" s="1"/>
  <c r="L56" i="1"/>
  <c r="AA56" i="1" s="1"/>
  <c r="L57" i="1"/>
  <c r="AA57" i="1" s="1"/>
  <c r="L58" i="1"/>
  <c r="AA58" i="1" s="1"/>
  <c r="L59" i="1"/>
  <c r="AA59" i="1" s="1"/>
  <c r="L60" i="1"/>
  <c r="AA60" i="1" s="1"/>
  <c r="L61" i="1"/>
  <c r="AA61" i="1" s="1"/>
  <c r="L62" i="1"/>
  <c r="AA62" i="1" s="1"/>
  <c r="L63" i="1"/>
  <c r="AA63" i="1" s="1"/>
  <c r="L64" i="1"/>
  <c r="AA64" i="1" s="1"/>
  <c r="L65" i="1"/>
  <c r="AA65" i="1" s="1"/>
  <c r="L66" i="1"/>
  <c r="AA66" i="1" s="1"/>
  <c r="L67" i="1"/>
  <c r="AA67" i="1" s="1"/>
  <c r="L68" i="1"/>
  <c r="AA68" i="1" s="1"/>
  <c r="L69" i="1"/>
  <c r="AA69" i="1" s="1"/>
  <c r="L70" i="1"/>
  <c r="AA70" i="1" s="1"/>
  <c r="L71" i="1"/>
  <c r="AA71" i="1" s="1"/>
  <c r="L72" i="1"/>
  <c r="AA72" i="1" s="1"/>
  <c r="L73" i="1"/>
  <c r="AA73" i="1" s="1"/>
  <c r="L74" i="1"/>
  <c r="AA74" i="1" s="1"/>
  <c r="L75" i="1"/>
  <c r="AA75" i="1" s="1"/>
  <c r="L76" i="1"/>
  <c r="AA76" i="1" s="1"/>
  <c r="L77" i="1"/>
  <c r="AA77" i="1" s="1"/>
  <c r="L78" i="1"/>
  <c r="AA78" i="1" s="1"/>
  <c r="L79" i="1"/>
  <c r="AA79" i="1" s="1"/>
  <c r="L80" i="1"/>
  <c r="AA80" i="1" s="1"/>
  <c r="L81" i="1"/>
  <c r="AA81" i="1" s="1"/>
  <c r="L82" i="1"/>
  <c r="AA82" i="1" s="1"/>
  <c r="L83" i="1"/>
  <c r="AA83" i="1" s="1"/>
  <c r="L84" i="1"/>
  <c r="AA84" i="1" s="1"/>
  <c r="L85" i="1"/>
  <c r="AA85" i="1" s="1"/>
  <c r="L86" i="1"/>
  <c r="AA86" i="1" s="1"/>
  <c r="L87" i="1"/>
  <c r="AA87" i="1" s="1"/>
  <c r="L88" i="1"/>
  <c r="AA88" i="1" s="1"/>
  <c r="L89" i="1"/>
  <c r="AA89" i="1" s="1"/>
  <c r="L90" i="1"/>
  <c r="AA90" i="1" s="1"/>
  <c r="L91" i="1"/>
  <c r="AA91" i="1" s="1"/>
  <c r="L92" i="1"/>
  <c r="AA92" i="1" s="1"/>
  <c r="L93" i="1"/>
  <c r="AA93" i="1" s="1"/>
  <c r="L94" i="1"/>
  <c r="AA94" i="1" s="1"/>
  <c r="L95" i="1"/>
  <c r="AA95" i="1" s="1"/>
  <c r="L96" i="1"/>
  <c r="AA96" i="1" s="1"/>
  <c r="L97" i="1"/>
  <c r="AA97" i="1" s="1"/>
  <c r="L98" i="1"/>
  <c r="AA98" i="1" s="1"/>
  <c r="L99" i="1"/>
  <c r="AA99" i="1" s="1"/>
  <c r="L100" i="1"/>
  <c r="AA100" i="1" s="1"/>
  <c r="L101" i="1"/>
  <c r="AA101" i="1" s="1"/>
  <c r="L102" i="1"/>
  <c r="AA102" i="1" s="1"/>
  <c r="L103" i="1"/>
  <c r="AA103" i="1" s="1"/>
  <c r="L104" i="1"/>
  <c r="AA104" i="1" s="1"/>
  <c r="L105" i="1"/>
  <c r="AA105" i="1" s="1"/>
  <c r="L106" i="1"/>
  <c r="AA106" i="1" s="1"/>
  <c r="L107" i="1"/>
  <c r="AA107" i="1" s="1"/>
  <c r="L108" i="1"/>
  <c r="AA108" i="1" s="1"/>
  <c r="L109" i="1"/>
  <c r="AA109" i="1" s="1"/>
  <c r="L110" i="1"/>
  <c r="AA110" i="1" s="1"/>
  <c r="L111" i="1"/>
  <c r="AA111" i="1" s="1"/>
  <c r="L112" i="1"/>
  <c r="AA112" i="1" s="1"/>
  <c r="L113" i="1"/>
  <c r="AA113" i="1" s="1"/>
  <c r="L114" i="1"/>
  <c r="AA114" i="1" s="1"/>
  <c r="L115" i="1"/>
  <c r="AA115" i="1" s="1"/>
  <c r="L116" i="1"/>
  <c r="AA116" i="1" s="1"/>
  <c r="L117" i="1"/>
  <c r="AA117" i="1" s="1"/>
  <c r="L118" i="1"/>
  <c r="AA118" i="1" s="1"/>
  <c r="L119" i="1"/>
  <c r="AA119" i="1" s="1"/>
  <c r="L120" i="1"/>
  <c r="AA120" i="1" s="1"/>
  <c r="L121" i="1"/>
  <c r="AA121" i="1" s="1"/>
  <c r="L122" i="1"/>
  <c r="AA122" i="1" s="1"/>
  <c r="L123" i="1"/>
  <c r="AA123" i="1" s="1"/>
  <c r="L124" i="1"/>
  <c r="AA124" i="1" s="1"/>
  <c r="L125" i="1"/>
  <c r="AA125" i="1" s="1"/>
  <c r="L126" i="1"/>
  <c r="AA126" i="1" s="1"/>
  <c r="L127" i="1"/>
  <c r="AA127" i="1" s="1"/>
  <c r="L128" i="1"/>
  <c r="AA128" i="1" s="1"/>
  <c r="L129" i="1"/>
  <c r="AA129" i="1" s="1"/>
  <c r="L130" i="1"/>
  <c r="AA130" i="1" s="1"/>
  <c r="L131" i="1"/>
  <c r="AA131" i="1" s="1"/>
  <c r="L132" i="1"/>
  <c r="AA132" i="1" s="1"/>
  <c r="L133" i="1"/>
  <c r="AA133" i="1" s="1"/>
  <c r="L134" i="1"/>
  <c r="AA134" i="1" s="1"/>
  <c r="L135" i="1"/>
  <c r="AA135" i="1" s="1"/>
  <c r="L136" i="1"/>
  <c r="AA136" i="1" s="1"/>
  <c r="L137" i="1"/>
  <c r="AA137" i="1" s="1"/>
  <c r="L138" i="1"/>
  <c r="AA138" i="1" s="1"/>
  <c r="L139" i="1"/>
  <c r="AA139" i="1" s="1"/>
  <c r="L140" i="1"/>
  <c r="AA140" i="1" s="1"/>
  <c r="L141" i="1"/>
  <c r="AA141" i="1" s="1"/>
  <c r="L142" i="1"/>
  <c r="AA142" i="1" s="1"/>
  <c r="L143" i="1"/>
  <c r="AA143" i="1" s="1"/>
  <c r="L144" i="1"/>
  <c r="AA144" i="1" s="1"/>
  <c r="L145" i="1"/>
  <c r="AA145" i="1" s="1"/>
  <c r="L146" i="1"/>
  <c r="AA146" i="1" s="1"/>
  <c r="L147" i="1"/>
  <c r="AA147" i="1" s="1"/>
  <c r="L148" i="1"/>
  <c r="AA148" i="1" s="1"/>
  <c r="L149" i="1"/>
  <c r="AA149" i="1" s="1"/>
  <c r="L150" i="1"/>
  <c r="AA150" i="1" s="1"/>
  <c r="L151" i="1"/>
  <c r="AA151" i="1" s="1"/>
  <c r="L152" i="1"/>
  <c r="AA152" i="1" s="1"/>
  <c r="L153" i="1"/>
  <c r="AA153" i="1" s="1"/>
  <c r="L154" i="1"/>
  <c r="AA154" i="1" s="1"/>
  <c r="L155" i="1"/>
  <c r="AA155" i="1" s="1"/>
  <c r="L156" i="1"/>
  <c r="AA156" i="1" s="1"/>
  <c r="L157" i="1"/>
  <c r="AA157" i="1" s="1"/>
  <c r="L158" i="1"/>
  <c r="AA158" i="1" s="1"/>
  <c r="L159" i="1"/>
  <c r="AA159" i="1" s="1"/>
  <c r="L160" i="1"/>
  <c r="AA160" i="1" s="1"/>
  <c r="L161" i="1"/>
  <c r="AA161" i="1" s="1"/>
  <c r="L162" i="1"/>
  <c r="AA162" i="1" s="1"/>
  <c r="L163" i="1"/>
  <c r="AA163" i="1" s="1"/>
  <c r="L164" i="1"/>
  <c r="AA164" i="1" s="1"/>
  <c r="L165" i="1"/>
  <c r="AA165" i="1" s="1"/>
  <c r="L166" i="1"/>
  <c r="AA166" i="1" s="1"/>
  <c r="L167" i="1"/>
  <c r="AA167" i="1" s="1"/>
  <c r="L168" i="1"/>
  <c r="AA168" i="1" s="1"/>
  <c r="L169" i="1"/>
  <c r="AA169" i="1" s="1"/>
  <c r="L170" i="1"/>
  <c r="AA170" i="1" s="1"/>
  <c r="L171" i="1"/>
  <c r="AA171" i="1" s="1"/>
  <c r="L172" i="1"/>
  <c r="AA172" i="1" s="1"/>
  <c r="L173" i="1"/>
  <c r="AA173" i="1" s="1"/>
  <c r="L174" i="1"/>
  <c r="AA174" i="1" s="1"/>
  <c r="L175" i="1"/>
  <c r="AA175" i="1" s="1"/>
  <c r="L176" i="1"/>
  <c r="AA176" i="1" s="1"/>
  <c r="L177" i="1"/>
  <c r="AA177" i="1" s="1"/>
  <c r="L178" i="1"/>
  <c r="AA178" i="1" s="1"/>
  <c r="L179" i="1"/>
  <c r="AA179" i="1" s="1"/>
  <c r="L180" i="1"/>
  <c r="AA180" i="1" s="1"/>
  <c r="L181" i="1"/>
  <c r="AA181" i="1" s="1"/>
  <c r="L182" i="1"/>
  <c r="AA182" i="1" s="1"/>
  <c r="L183" i="1"/>
  <c r="AA183" i="1" s="1"/>
  <c r="L184" i="1"/>
  <c r="AA184" i="1" s="1"/>
  <c r="L185" i="1"/>
  <c r="AA185" i="1" s="1"/>
  <c r="L186" i="1"/>
  <c r="AA186" i="1" s="1"/>
  <c r="L187" i="1"/>
  <c r="AA187" i="1" s="1"/>
  <c r="L188" i="1"/>
  <c r="AA188" i="1" s="1"/>
  <c r="L189" i="1"/>
  <c r="AA189" i="1" s="1"/>
  <c r="L190" i="1"/>
  <c r="AA190" i="1" s="1"/>
  <c r="L191" i="1"/>
  <c r="AA191" i="1" s="1"/>
  <c r="L192" i="1"/>
  <c r="AA192" i="1" s="1"/>
  <c r="L193" i="1"/>
  <c r="AA193" i="1" s="1"/>
  <c r="L194" i="1"/>
  <c r="AA194" i="1" s="1"/>
  <c r="L195" i="1"/>
  <c r="AA195" i="1" s="1"/>
  <c r="L196" i="1"/>
  <c r="AA196" i="1" s="1"/>
  <c r="L197" i="1"/>
  <c r="AA197" i="1" s="1"/>
  <c r="L198" i="1"/>
  <c r="AA198" i="1" s="1"/>
  <c r="L199" i="1"/>
  <c r="AA199" i="1" s="1"/>
  <c r="L200" i="1"/>
  <c r="AA200" i="1" s="1"/>
  <c r="L201" i="1"/>
  <c r="AA201" i="1" s="1"/>
  <c r="L202" i="1"/>
  <c r="AA202" i="1" s="1"/>
  <c r="L203" i="1"/>
  <c r="AA203" i="1" s="1"/>
  <c r="L204" i="1"/>
  <c r="AA204" i="1" s="1"/>
  <c r="L205" i="1"/>
  <c r="AA205" i="1" s="1"/>
  <c r="L206" i="1"/>
  <c r="AA206" i="1" s="1"/>
  <c r="L207" i="1"/>
  <c r="AA207" i="1" s="1"/>
  <c r="L208" i="1"/>
  <c r="AA208" i="1" s="1"/>
  <c r="L209" i="1"/>
  <c r="AA209" i="1" s="1"/>
  <c r="L210" i="1"/>
  <c r="AA210" i="1" s="1"/>
  <c r="L211" i="1"/>
  <c r="AA211" i="1" s="1"/>
  <c r="L212" i="1"/>
  <c r="AA212" i="1" s="1"/>
  <c r="L213" i="1"/>
  <c r="AA213" i="1" s="1"/>
  <c r="L214" i="1"/>
  <c r="AA214" i="1" s="1"/>
  <c r="L215" i="1"/>
  <c r="AA215" i="1" s="1"/>
  <c r="L216" i="1"/>
  <c r="AA216" i="1" s="1"/>
  <c r="L217" i="1"/>
  <c r="AA217" i="1" s="1"/>
  <c r="L218" i="1"/>
  <c r="AA218" i="1" s="1"/>
  <c r="L219" i="1"/>
  <c r="AA219" i="1" s="1"/>
  <c r="L220" i="1"/>
  <c r="AA220" i="1" s="1"/>
  <c r="L221" i="1"/>
  <c r="AA221" i="1" s="1"/>
  <c r="L222" i="1"/>
  <c r="AA222" i="1" s="1"/>
  <c r="L223" i="1"/>
  <c r="AA223" i="1" s="1"/>
  <c r="L224" i="1"/>
  <c r="AA224" i="1" s="1"/>
  <c r="L225" i="1"/>
  <c r="AA225" i="1" s="1"/>
  <c r="L226" i="1"/>
  <c r="AA226" i="1" s="1"/>
  <c r="L227" i="1"/>
  <c r="AA227" i="1" s="1"/>
  <c r="L228" i="1"/>
  <c r="AA228" i="1" s="1"/>
  <c r="L229" i="1"/>
  <c r="AA229" i="1" s="1"/>
  <c r="L230" i="1"/>
  <c r="AA230" i="1" s="1"/>
  <c r="L231" i="1"/>
  <c r="AA231" i="1" s="1"/>
  <c r="L232" i="1"/>
  <c r="AA232" i="1" s="1"/>
  <c r="L233" i="1"/>
  <c r="AA233" i="1" s="1"/>
  <c r="L234" i="1"/>
  <c r="AA234" i="1" s="1"/>
  <c r="L235" i="1"/>
  <c r="AA235" i="1" s="1"/>
  <c r="L236" i="1"/>
  <c r="AA236" i="1" s="1"/>
  <c r="L237" i="1"/>
  <c r="AA237" i="1" s="1"/>
  <c r="L238" i="1"/>
  <c r="AA238" i="1" s="1"/>
  <c r="L239" i="1"/>
  <c r="AA239" i="1" s="1"/>
  <c r="L240" i="1"/>
  <c r="AA240" i="1" s="1"/>
  <c r="L241" i="1"/>
  <c r="AA241" i="1" s="1"/>
  <c r="L242" i="1"/>
  <c r="AA242" i="1" s="1"/>
  <c r="L243" i="1"/>
  <c r="AA243" i="1" s="1"/>
  <c r="L244" i="1"/>
  <c r="AA244" i="1" s="1"/>
  <c r="L2" i="1"/>
  <c r="AA2" i="1" l="1"/>
  <c r="E7" i="16"/>
  <c r="K3" i="1"/>
  <c r="Z3" i="1" s="1"/>
  <c r="K4" i="1"/>
  <c r="Z4" i="1" s="1"/>
  <c r="K5" i="1"/>
  <c r="Z5" i="1" s="1"/>
  <c r="K6" i="1"/>
  <c r="Z6" i="1" s="1"/>
  <c r="K7" i="1"/>
  <c r="Z7" i="1" s="1"/>
  <c r="K8" i="1"/>
  <c r="Z8" i="1" s="1"/>
  <c r="K9" i="1"/>
  <c r="Z9" i="1" s="1"/>
  <c r="K10" i="1"/>
  <c r="Z10" i="1" s="1"/>
  <c r="K11" i="1"/>
  <c r="Z11" i="1" s="1"/>
  <c r="K12" i="1"/>
  <c r="Z12" i="1" s="1"/>
  <c r="K13" i="1"/>
  <c r="Z13" i="1" s="1"/>
  <c r="K14" i="1"/>
  <c r="Z14" i="1" s="1"/>
  <c r="K15" i="1"/>
  <c r="Z15" i="1" s="1"/>
  <c r="K16" i="1"/>
  <c r="Z16" i="1" s="1"/>
  <c r="K17" i="1"/>
  <c r="Z17" i="1" s="1"/>
  <c r="K18" i="1"/>
  <c r="Z18" i="1" s="1"/>
  <c r="K19" i="1"/>
  <c r="Z19" i="1" s="1"/>
  <c r="K20" i="1"/>
  <c r="Z20" i="1" s="1"/>
  <c r="K21" i="1"/>
  <c r="Z21" i="1" s="1"/>
  <c r="K22" i="1"/>
  <c r="Z22" i="1" s="1"/>
  <c r="K23" i="1"/>
  <c r="Z23" i="1" s="1"/>
  <c r="K24" i="1"/>
  <c r="Z24" i="1" s="1"/>
  <c r="K25" i="1"/>
  <c r="Z25" i="1" s="1"/>
  <c r="K26" i="1"/>
  <c r="Z26" i="1" s="1"/>
  <c r="K27" i="1"/>
  <c r="Z27" i="1" s="1"/>
  <c r="K28" i="1"/>
  <c r="Z28" i="1" s="1"/>
  <c r="K29" i="1"/>
  <c r="Z29" i="1" s="1"/>
  <c r="K30" i="1"/>
  <c r="Z30" i="1" s="1"/>
  <c r="K31" i="1"/>
  <c r="Z31" i="1" s="1"/>
  <c r="K32" i="1"/>
  <c r="Z32" i="1" s="1"/>
  <c r="K33" i="1"/>
  <c r="Z33" i="1" s="1"/>
  <c r="K34" i="1"/>
  <c r="Z34" i="1" s="1"/>
  <c r="K35" i="1"/>
  <c r="Z35" i="1" s="1"/>
  <c r="K36" i="1"/>
  <c r="Z36" i="1" s="1"/>
  <c r="K37" i="1"/>
  <c r="Z37" i="1" s="1"/>
  <c r="K38" i="1"/>
  <c r="Z38" i="1" s="1"/>
  <c r="K39" i="1"/>
  <c r="Z39" i="1" s="1"/>
  <c r="K40" i="1"/>
  <c r="Z40" i="1" s="1"/>
  <c r="K41" i="1"/>
  <c r="Z41" i="1" s="1"/>
  <c r="K42" i="1"/>
  <c r="Z42" i="1" s="1"/>
  <c r="K43" i="1"/>
  <c r="Z43" i="1" s="1"/>
  <c r="K44" i="1"/>
  <c r="Z44" i="1" s="1"/>
  <c r="K45" i="1"/>
  <c r="Z45" i="1" s="1"/>
  <c r="K46" i="1"/>
  <c r="Z46" i="1" s="1"/>
  <c r="K47" i="1"/>
  <c r="Z47" i="1" s="1"/>
  <c r="K48" i="1"/>
  <c r="Z48" i="1" s="1"/>
  <c r="K49" i="1"/>
  <c r="Z49" i="1" s="1"/>
  <c r="K50" i="1"/>
  <c r="Z50" i="1" s="1"/>
  <c r="K51" i="1"/>
  <c r="Z51" i="1" s="1"/>
  <c r="K52" i="1"/>
  <c r="Z52" i="1" s="1"/>
  <c r="K53" i="1"/>
  <c r="Z53" i="1" s="1"/>
  <c r="K54" i="1"/>
  <c r="Z54" i="1" s="1"/>
  <c r="K55" i="1"/>
  <c r="Z55" i="1" s="1"/>
  <c r="K56" i="1"/>
  <c r="Z56" i="1" s="1"/>
  <c r="K57" i="1"/>
  <c r="Z57" i="1" s="1"/>
  <c r="K58" i="1"/>
  <c r="Z58" i="1" s="1"/>
  <c r="K59" i="1"/>
  <c r="Z59" i="1" s="1"/>
  <c r="K60" i="1"/>
  <c r="Z60" i="1" s="1"/>
  <c r="K61" i="1"/>
  <c r="Z61" i="1" s="1"/>
  <c r="K62" i="1"/>
  <c r="Z62" i="1" s="1"/>
  <c r="K63" i="1"/>
  <c r="Z63" i="1" s="1"/>
  <c r="K64" i="1"/>
  <c r="Z64" i="1" s="1"/>
  <c r="K65" i="1"/>
  <c r="Z65" i="1" s="1"/>
  <c r="K66" i="1"/>
  <c r="Z66" i="1" s="1"/>
  <c r="K67" i="1"/>
  <c r="Z67" i="1" s="1"/>
  <c r="K68" i="1"/>
  <c r="Z68" i="1" s="1"/>
  <c r="K69" i="1"/>
  <c r="Z69" i="1" s="1"/>
  <c r="K70" i="1"/>
  <c r="Z70" i="1" s="1"/>
  <c r="K71" i="1"/>
  <c r="Z71" i="1" s="1"/>
  <c r="K72" i="1"/>
  <c r="Z72" i="1" s="1"/>
  <c r="K73" i="1"/>
  <c r="Z73" i="1" s="1"/>
  <c r="K74" i="1"/>
  <c r="Z74" i="1" s="1"/>
  <c r="K75" i="1"/>
  <c r="Z75" i="1" s="1"/>
  <c r="K76" i="1"/>
  <c r="Z76" i="1" s="1"/>
  <c r="K77" i="1"/>
  <c r="Z77" i="1" s="1"/>
  <c r="K78" i="1"/>
  <c r="Z78" i="1" s="1"/>
  <c r="K79" i="1"/>
  <c r="Z79" i="1" s="1"/>
  <c r="K80" i="1"/>
  <c r="Z80" i="1" s="1"/>
  <c r="K81" i="1"/>
  <c r="Z81" i="1" s="1"/>
  <c r="K82" i="1"/>
  <c r="Z82" i="1" s="1"/>
  <c r="K83" i="1"/>
  <c r="Z83" i="1" s="1"/>
  <c r="K84" i="1"/>
  <c r="Z84" i="1" s="1"/>
  <c r="K85" i="1"/>
  <c r="Z85" i="1" s="1"/>
  <c r="K86" i="1"/>
  <c r="Z86" i="1" s="1"/>
  <c r="K87" i="1"/>
  <c r="Z87" i="1" s="1"/>
  <c r="K88" i="1"/>
  <c r="Z88" i="1" s="1"/>
  <c r="K89" i="1"/>
  <c r="Z89" i="1" s="1"/>
  <c r="K90" i="1"/>
  <c r="Z90" i="1" s="1"/>
  <c r="K91" i="1"/>
  <c r="Z91" i="1" s="1"/>
  <c r="K92" i="1"/>
  <c r="Z92" i="1" s="1"/>
  <c r="K93" i="1"/>
  <c r="Z93" i="1" s="1"/>
  <c r="K94" i="1"/>
  <c r="Z94" i="1" s="1"/>
  <c r="K95" i="1"/>
  <c r="Z95" i="1" s="1"/>
  <c r="K96" i="1"/>
  <c r="Z96" i="1" s="1"/>
  <c r="K97" i="1"/>
  <c r="Z97" i="1" s="1"/>
  <c r="K98" i="1"/>
  <c r="Z98" i="1" s="1"/>
  <c r="K99" i="1"/>
  <c r="Z99" i="1" s="1"/>
  <c r="K100" i="1"/>
  <c r="Z100" i="1" s="1"/>
  <c r="K101" i="1"/>
  <c r="Z101" i="1" s="1"/>
  <c r="K102" i="1"/>
  <c r="Z102" i="1" s="1"/>
  <c r="K103" i="1"/>
  <c r="Z103" i="1" s="1"/>
  <c r="K104" i="1"/>
  <c r="Z104" i="1" s="1"/>
  <c r="K105" i="1"/>
  <c r="Z105" i="1" s="1"/>
  <c r="K106" i="1"/>
  <c r="Z106" i="1" s="1"/>
  <c r="K107" i="1"/>
  <c r="Z107" i="1" s="1"/>
  <c r="K108" i="1"/>
  <c r="Z108" i="1" s="1"/>
  <c r="K109" i="1"/>
  <c r="Z109" i="1" s="1"/>
  <c r="K110" i="1"/>
  <c r="Z110" i="1" s="1"/>
  <c r="K111" i="1"/>
  <c r="Z111" i="1" s="1"/>
  <c r="K112" i="1"/>
  <c r="Z112" i="1" s="1"/>
  <c r="K113" i="1"/>
  <c r="Z113" i="1" s="1"/>
  <c r="K114" i="1"/>
  <c r="Z114" i="1" s="1"/>
  <c r="K115" i="1"/>
  <c r="Z115" i="1" s="1"/>
  <c r="K116" i="1"/>
  <c r="Z116" i="1" s="1"/>
  <c r="K117" i="1"/>
  <c r="Z117" i="1" s="1"/>
  <c r="K118" i="1"/>
  <c r="Z118" i="1" s="1"/>
  <c r="K119" i="1"/>
  <c r="Z119" i="1" s="1"/>
  <c r="K120" i="1"/>
  <c r="Z120" i="1" s="1"/>
  <c r="K121" i="1"/>
  <c r="Z121" i="1" s="1"/>
  <c r="K122" i="1"/>
  <c r="Z122" i="1" s="1"/>
  <c r="K123" i="1"/>
  <c r="Z123" i="1" s="1"/>
  <c r="K124" i="1"/>
  <c r="Z124" i="1" s="1"/>
  <c r="K125" i="1"/>
  <c r="Z125" i="1" s="1"/>
  <c r="K126" i="1"/>
  <c r="Z126" i="1" s="1"/>
  <c r="K127" i="1"/>
  <c r="Z127" i="1" s="1"/>
  <c r="K128" i="1"/>
  <c r="Z128" i="1" s="1"/>
  <c r="K129" i="1"/>
  <c r="Z129" i="1" s="1"/>
  <c r="K130" i="1"/>
  <c r="Z130" i="1" s="1"/>
  <c r="K131" i="1"/>
  <c r="Z131" i="1" s="1"/>
  <c r="K132" i="1"/>
  <c r="Z132" i="1" s="1"/>
  <c r="K133" i="1"/>
  <c r="Z133" i="1" s="1"/>
  <c r="K134" i="1"/>
  <c r="Z134" i="1" s="1"/>
  <c r="K135" i="1"/>
  <c r="Z135" i="1" s="1"/>
  <c r="K136" i="1"/>
  <c r="Z136" i="1" s="1"/>
  <c r="K137" i="1"/>
  <c r="Z137" i="1" s="1"/>
  <c r="K138" i="1"/>
  <c r="Z138" i="1" s="1"/>
  <c r="K139" i="1"/>
  <c r="Z139" i="1" s="1"/>
  <c r="K140" i="1"/>
  <c r="Z140" i="1" s="1"/>
  <c r="K141" i="1"/>
  <c r="Z141" i="1" s="1"/>
  <c r="K142" i="1"/>
  <c r="Z142" i="1" s="1"/>
  <c r="K143" i="1"/>
  <c r="Z143" i="1" s="1"/>
  <c r="K144" i="1"/>
  <c r="Z144" i="1" s="1"/>
  <c r="K145" i="1"/>
  <c r="Z145" i="1" s="1"/>
  <c r="K146" i="1"/>
  <c r="Z146" i="1" s="1"/>
  <c r="K147" i="1"/>
  <c r="Z147" i="1" s="1"/>
  <c r="K148" i="1"/>
  <c r="Z148" i="1" s="1"/>
  <c r="K149" i="1"/>
  <c r="Z149" i="1" s="1"/>
  <c r="K150" i="1"/>
  <c r="Z150" i="1" s="1"/>
  <c r="K151" i="1"/>
  <c r="Z151" i="1" s="1"/>
  <c r="K152" i="1"/>
  <c r="Z152" i="1" s="1"/>
  <c r="K153" i="1"/>
  <c r="Z153" i="1" s="1"/>
  <c r="K154" i="1"/>
  <c r="Z154" i="1" s="1"/>
  <c r="K155" i="1"/>
  <c r="Z155" i="1" s="1"/>
  <c r="K156" i="1"/>
  <c r="Z156" i="1" s="1"/>
  <c r="K157" i="1"/>
  <c r="Z157" i="1" s="1"/>
  <c r="K158" i="1"/>
  <c r="Z158" i="1" s="1"/>
  <c r="K159" i="1"/>
  <c r="Z159" i="1" s="1"/>
  <c r="K160" i="1"/>
  <c r="Z160" i="1" s="1"/>
  <c r="K161" i="1"/>
  <c r="Z161" i="1" s="1"/>
  <c r="K162" i="1"/>
  <c r="Z162" i="1" s="1"/>
  <c r="K163" i="1"/>
  <c r="Z163" i="1" s="1"/>
  <c r="K164" i="1"/>
  <c r="Z164" i="1" s="1"/>
  <c r="K165" i="1"/>
  <c r="Z165" i="1" s="1"/>
  <c r="K166" i="1"/>
  <c r="Z166" i="1" s="1"/>
  <c r="K167" i="1"/>
  <c r="Z167" i="1" s="1"/>
  <c r="K168" i="1"/>
  <c r="Z168" i="1" s="1"/>
  <c r="K169" i="1"/>
  <c r="Z169" i="1" s="1"/>
  <c r="K170" i="1"/>
  <c r="Z170" i="1" s="1"/>
  <c r="K171" i="1"/>
  <c r="Z171" i="1" s="1"/>
  <c r="K172" i="1"/>
  <c r="Z172" i="1" s="1"/>
  <c r="K173" i="1"/>
  <c r="Z173" i="1" s="1"/>
  <c r="K174" i="1"/>
  <c r="Z174" i="1" s="1"/>
  <c r="K175" i="1"/>
  <c r="Z175" i="1" s="1"/>
  <c r="K176" i="1"/>
  <c r="Z176" i="1" s="1"/>
  <c r="K177" i="1"/>
  <c r="Z177" i="1" s="1"/>
  <c r="K178" i="1"/>
  <c r="Z178" i="1" s="1"/>
  <c r="K179" i="1"/>
  <c r="Z179" i="1" s="1"/>
  <c r="K180" i="1"/>
  <c r="Z180" i="1" s="1"/>
  <c r="K181" i="1"/>
  <c r="Z181" i="1" s="1"/>
  <c r="K182" i="1"/>
  <c r="Z182" i="1" s="1"/>
  <c r="K183" i="1"/>
  <c r="Z183" i="1" s="1"/>
  <c r="K184" i="1"/>
  <c r="Z184" i="1" s="1"/>
  <c r="K185" i="1"/>
  <c r="Z185" i="1" s="1"/>
  <c r="K186" i="1"/>
  <c r="Z186" i="1" s="1"/>
  <c r="K187" i="1"/>
  <c r="Z187" i="1" s="1"/>
  <c r="K188" i="1"/>
  <c r="Z188" i="1" s="1"/>
  <c r="K189" i="1"/>
  <c r="Z189" i="1" s="1"/>
  <c r="K190" i="1"/>
  <c r="Z190" i="1" s="1"/>
  <c r="K191" i="1"/>
  <c r="Z191" i="1" s="1"/>
  <c r="K192" i="1"/>
  <c r="Z192" i="1" s="1"/>
  <c r="K193" i="1"/>
  <c r="Z193" i="1" s="1"/>
  <c r="K194" i="1"/>
  <c r="Z194" i="1" s="1"/>
  <c r="K195" i="1"/>
  <c r="Z195" i="1" s="1"/>
  <c r="K196" i="1"/>
  <c r="Z196" i="1" s="1"/>
  <c r="K197" i="1"/>
  <c r="Z197" i="1" s="1"/>
  <c r="K198" i="1"/>
  <c r="Z198" i="1" s="1"/>
  <c r="K199" i="1"/>
  <c r="Z199" i="1" s="1"/>
  <c r="K200" i="1"/>
  <c r="Z200" i="1" s="1"/>
  <c r="K201" i="1"/>
  <c r="Z201" i="1" s="1"/>
  <c r="K202" i="1"/>
  <c r="Z202" i="1" s="1"/>
  <c r="K203" i="1"/>
  <c r="Z203" i="1" s="1"/>
  <c r="K204" i="1"/>
  <c r="Z204" i="1" s="1"/>
  <c r="K205" i="1"/>
  <c r="Z205" i="1" s="1"/>
  <c r="K206" i="1"/>
  <c r="Z206" i="1" s="1"/>
  <c r="K207" i="1"/>
  <c r="Z207" i="1" s="1"/>
  <c r="K208" i="1"/>
  <c r="Z208" i="1" s="1"/>
  <c r="K209" i="1"/>
  <c r="Z209" i="1" s="1"/>
  <c r="K210" i="1"/>
  <c r="Z210" i="1" s="1"/>
  <c r="K211" i="1"/>
  <c r="Z211" i="1" s="1"/>
  <c r="K212" i="1"/>
  <c r="Z212" i="1" s="1"/>
  <c r="K213" i="1"/>
  <c r="Z213" i="1" s="1"/>
  <c r="K214" i="1"/>
  <c r="Z214" i="1" s="1"/>
  <c r="K215" i="1"/>
  <c r="Z215" i="1" s="1"/>
  <c r="K216" i="1"/>
  <c r="Z216" i="1" s="1"/>
  <c r="K217" i="1"/>
  <c r="Z217" i="1" s="1"/>
  <c r="K218" i="1"/>
  <c r="Z218" i="1" s="1"/>
  <c r="K219" i="1"/>
  <c r="Z219" i="1" s="1"/>
  <c r="K220" i="1"/>
  <c r="Z220" i="1" s="1"/>
  <c r="K221" i="1"/>
  <c r="Z221" i="1" s="1"/>
  <c r="K222" i="1"/>
  <c r="Z222" i="1" s="1"/>
  <c r="K223" i="1"/>
  <c r="Z223" i="1" s="1"/>
  <c r="K224" i="1"/>
  <c r="Z224" i="1" s="1"/>
  <c r="K225" i="1"/>
  <c r="Z225" i="1" s="1"/>
  <c r="K226" i="1"/>
  <c r="Z226" i="1" s="1"/>
  <c r="K227" i="1"/>
  <c r="Z227" i="1" s="1"/>
  <c r="K228" i="1"/>
  <c r="Z228" i="1" s="1"/>
  <c r="K229" i="1"/>
  <c r="Z229" i="1" s="1"/>
  <c r="K230" i="1"/>
  <c r="Z230" i="1" s="1"/>
  <c r="K231" i="1"/>
  <c r="Z231" i="1" s="1"/>
  <c r="K232" i="1"/>
  <c r="Z232" i="1" s="1"/>
  <c r="K233" i="1"/>
  <c r="Z233" i="1" s="1"/>
  <c r="K234" i="1"/>
  <c r="Z234" i="1" s="1"/>
  <c r="K235" i="1"/>
  <c r="Z235" i="1" s="1"/>
  <c r="K236" i="1"/>
  <c r="Z236" i="1" s="1"/>
  <c r="K237" i="1"/>
  <c r="Z237" i="1" s="1"/>
  <c r="K238" i="1"/>
  <c r="Z238" i="1" s="1"/>
  <c r="K239" i="1"/>
  <c r="Z239" i="1" s="1"/>
  <c r="K240" i="1"/>
  <c r="Z240" i="1" s="1"/>
  <c r="K241" i="1"/>
  <c r="Z241" i="1" s="1"/>
  <c r="K242" i="1"/>
  <c r="Z242" i="1" s="1"/>
  <c r="K243" i="1"/>
  <c r="Z243" i="1" s="1"/>
  <c r="K244" i="1"/>
  <c r="Z244" i="1" s="1"/>
  <c r="K2" i="1"/>
  <c r="Z2" i="1" l="1"/>
  <c r="D6" i="16"/>
  <c r="R5" i="1"/>
  <c r="R8" i="1"/>
  <c r="R7" i="1"/>
  <c r="R6" i="1"/>
  <c r="R3" i="1"/>
  <c r="J3" i="1"/>
  <c r="Y3" i="1" s="1"/>
  <c r="J4" i="1"/>
  <c r="Y4" i="1" s="1"/>
  <c r="J5" i="1"/>
  <c r="Y5" i="1" s="1"/>
  <c r="J6" i="1"/>
  <c r="Y6" i="1" s="1"/>
  <c r="J7" i="1"/>
  <c r="Y7" i="1" s="1"/>
  <c r="J8" i="1"/>
  <c r="Y8" i="1" s="1"/>
  <c r="J9" i="1"/>
  <c r="Y9" i="1" s="1"/>
  <c r="J10" i="1"/>
  <c r="Y10" i="1" s="1"/>
  <c r="J11" i="1"/>
  <c r="Y11" i="1" s="1"/>
  <c r="J12" i="1"/>
  <c r="Y12" i="1" s="1"/>
  <c r="J13" i="1"/>
  <c r="Y13" i="1" s="1"/>
  <c r="J14" i="1"/>
  <c r="Y14" i="1" s="1"/>
  <c r="J15" i="1"/>
  <c r="Y15" i="1" s="1"/>
  <c r="J16" i="1"/>
  <c r="Y16" i="1" s="1"/>
  <c r="J17" i="1"/>
  <c r="Y17" i="1" s="1"/>
  <c r="J18" i="1"/>
  <c r="Y18" i="1" s="1"/>
  <c r="J19" i="1"/>
  <c r="Y19" i="1" s="1"/>
  <c r="J20" i="1"/>
  <c r="Y20" i="1" s="1"/>
  <c r="J21" i="1"/>
  <c r="Y21" i="1" s="1"/>
  <c r="J22" i="1"/>
  <c r="Y22" i="1" s="1"/>
  <c r="J23" i="1"/>
  <c r="Y23" i="1" s="1"/>
  <c r="J24" i="1"/>
  <c r="Y24" i="1" s="1"/>
  <c r="J25" i="1"/>
  <c r="Y25" i="1" s="1"/>
  <c r="J26" i="1"/>
  <c r="Y26" i="1" s="1"/>
  <c r="J27" i="1"/>
  <c r="Y27" i="1" s="1"/>
  <c r="J28" i="1"/>
  <c r="Y28" i="1" s="1"/>
  <c r="J29" i="1"/>
  <c r="Y29" i="1" s="1"/>
  <c r="J30" i="1"/>
  <c r="Y30" i="1" s="1"/>
  <c r="J31" i="1"/>
  <c r="Y31" i="1" s="1"/>
  <c r="J32" i="1"/>
  <c r="Y32" i="1" s="1"/>
  <c r="J33" i="1"/>
  <c r="Y33" i="1" s="1"/>
  <c r="J34" i="1"/>
  <c r="Y34" i="1" s="1"/>
  <c r="J35" i="1"/>
  <c r="Y35" i="1" s="1"/>
  <c r="J36" i="1"/>
  <c r="Y36" i="1" s="1"/>
  <c r="J37" i="1"/>
  <c r="Y37" i="1" s="1"/>
  <c r="J38" i="1"/>
  <c r="Y38" i="1" s="1"/>
  <c r="J39" i="1"/>
  <c r="Y39" i="1" s="1"/>
  <c r="J40" i="1"/>
  <c r="Y40" i="1" s="1"/>
  <c r="J41" i="1"/>
  <c r="Y41" i="1" s="1"/>
  <c r="J42" i="1"/>
  <c r="Y42" i="1" s="1"/>
  <c r="J43" i="1"/>
  <c r="Y43" i="1" s="1"/>
  <c r="J44" i="1"/>
  <c r="Y44" i="1" s="1"/>
  <c r="J45" i="1"/>
  <c r="Y45" i="1" s="1"/>
  <c r="J46" i="1"/>
  <c r="Y46" i="1" s="1"/>
  <c r="J47" i="1"/>
  <c r="Y47" i="1" s="1"/>
  <c r="J48" i="1"/>
  <c r="Y48" i="1" s="1"/>
  <c r="J49" i="1"/>
  <c r="Y49" i="1" s="1"/>
  <c r="J50" i="1"/>
  <c r="Y50" i="1" s="1"/>
  <c r="J51" i="1"/>
  <c r="Y51" i="1" s="1"/>
  <c r="J52" i="1"/>
  <c r="Y52" i="1" s="1"/>
  <c r="J53" i="1"/>
  <c r="Y53" i="1" s="1"/>
  <c r="J54" i="1"/>
  <c r="Y54" i="1" s="1"/>
  <c r="J55" i="1"/>
  <c r="Y55" i="1" s="1"/>
  <c r="J56" i="1"/>
  <c r="Y56" i="1" s="1"/>
  <c r="J57" i="1"/>
  <c r="Y57" i="1" s="1"/>
  <c r="J58" i="1"/>
  <c r="Y58" i="1" s="1"/>
  <c r="J59" i="1"/>
  <c r="Y59" i="1" s="1"/>
  <c r="J60" i="1"/>
  <c r="Y60" i="1" s="1"/>
  <c r="J61" i="1"/>
  <c r="Y61" i="1" s="1"/>
  <c r="J62" i="1"/>
  <c r="Y62" i="1" s="1"/>
  <c r="J63" i="1"/>
  <c r="Y63" i="1" s="1"/>
  <c r="J64" i="1"/>
  <c r="Y64" i="1" s="1"/>
  <c r="J65" i="1"/>
  <c r="Y65" i="1" s="1"/>
  <c r="J66" i="1"/>
  <c r="Y66" i="1" s="1"/>
  <c r="J67" i="1"/>
  <c r="Y67" i="1" s="1"/>
  <c r="J68" i="1"/>
  <c r="Y68" i="1" s="1"/>
  <c r="J69" i="1"/>
  <c r="Y69" i="1" s="1"/>
  <c r="J70" i="1"/>
  <c r="Y70" i="1" s="1"/>
  <c r="J71" i="1"/>
  <c r="Y71" i="1" s="1"/>
  <c r="J72" i="1"/>
  <c r="Y72" i="1" s="1"/>
  <c r="J73" i="1"/>
  <c r="Y73" i="1" s="1"/>
  <c r="J74" i="1"/>
  <c r="Y74" i="1" s="1"/>
  <c r="J75" i="1"/>
  <c r="Y75" i="1" s="1"/>
  <c r="J76" i="1"/>
  <c r="Y76" i="1" s="1"/>
  <c r="J77" i="1"/>
  <c r="Y77" i="1" s="1"/>
  <c r="J78" i="1"/>
  <c r="Y78" i="1" s="1"/>
  <c r="J79" i="1"/>
  <c r="Y79" i="1" s="1"/>
  <c r="J80" i="1"/>
  <c r="Y80" i="1" s="1"/>
  <c r="J81" i="1"/>
  <c r="Y81" i="1" s="1"/>
  <c r="J82" i="1"/>
  <c r="Y82" i="1" s="1"/>
  <c r="J83" i="1"/>
  <c r="Y83" i="1" s="1"/>
  <c r="J84" i="1"/>
  <c r="Y84" i="1" s="1"/>
  <c r="J85" i="1"/>
  <c r="Y85" i="1" s="1"/>
  <c r="J86" i="1"/>
  <c r="Y86" i="1" s="1"/>
  <c r="J87" i="1"/>
  <c r="Y87" i="1" s="1"/>
  <c r="J88" i="1"/>
  <c r="Y88" i="1" s="1"/>
  <c r="J89" i="1"/>
  <c r="Y89" i="1" s="1"/>
  <c r="J90" i="1"/>
  <c r="Y90" i="1" s="1"/>
  <c r="J91" i="1"/>
  <c r="Y91" i="1" s="1"/>
  <c r="J92" i="1"/>
  <c r="Y92" i="1" s="1"/>
  <c r="J93" i="1"/>
  <c r="Y93" i="1" s="1"/>
  <c r="J94" i="1"/>
  <c r="Y94" i="1" s="1"/>
  <c r="J95" i="1"/>
  <c r="Y95" i="1" s="1"/>
  <c r="J96" i="1"/>
  <c r="Y96" i="1" s="1"/>
  <c r="J97" i="1"/>
  <c r="Y97" i="1" s="1"/>
  <c r="J98" i="1"/>
  <c r="Y98" i="1" s="1"/>
  <c r="J99" i="1"/>
  <c r="Y99" i="1" s="1"/>
  <c r="J100" i="1"/>
  <c r="Y100" i="1" s="1"/>
  <c r="J101" i="1"/>
  <c r="Y101" i="1" s="1"/>
  <c r="J102" i="1"/>
  <c r="Y102" i="1" s="1"/>
  <c r="J103" i="1"/>
  <c r="Y103" i="1" s="1"/>
  <c r="J104" i="1"/>
  <c r="Y104" i="1" s="1"/>
  <c r="J105" i="1"/>
  <c r="Y105" i="1" s="1"/>
  <c r="J106" i="1"/>
  <c r="Y106" i="1" s="1"/>
  <c r="J107" i="1"/>
  <c r="Y107" i="1" s="1"/>
  <c r="J108" i="1"/>
  <c r="Y108" i="1" s="1"/>
  <c r="J109" i="1"/>
  <c r="Y109" i="1" s="1"/>
  <c r="J110" i="1"/>
  <c r="Y110" i="1" s="1"/>
  <c r="J111" i="1"/>
  <c r="Y111" i="1" s="1"/>
  <c r="J112" i="1"/>
  <c r="Y112" i="1" s="1"/>
  <c r="J113" i="1"/>
  <c r="Y113" i="1" s="1"/>
  <c r="J114" i="1"/>
  <c r="Y114" i="1" s="1"/>
  <c r="J115" i="1"/>
  <c r="Y115" i="1" s="1"/>
  <c r="J116" i="1"/>
  <c r="Y116" i="1" s="1"/>
  <c r="J117" i="1"/>
  <c r="Y117" i="1" s="1"/>
  <c r="J118" i="1"/>
  <c r="Y118" i="1" s="1"/>
  <c r="J119" i="1"/>
  <c r="Y119" i="1" s="1"/>
  <c r="J120" i="1"/>
  <c r="Y120" i="1" s="1"/>
  <c r="J121" i="1"/>
  <c r="Y121" i="1" s="1"/>
  <c r="J122" i="1"/>
  <c r="Y122" i="1" s="1"/>
  <c r="J123" i="1"/>
  <c r="Y123" i="1" s="1"/>
  <c r="J124" i="1"/>
  <c r="Y124" i="1" s="1"/>
  <c r="J125" i="1"/>
  <c r="Y125" i="1" s="1"/>
  <c r="J126" i="1"/>
  <c r="Y126" i="1" s="1"/>
  <c r="J127" i="1"/>
  <c r="Y127" i="1" s="1"/>
  <c r="J128" i="1"/>
  <c r="Y128" i="1" s="1"/>
  <c r="J129" i="1"/>
  <c r="Y129" i="1" s="1"/>
  <c r="J130" i="1"/>
  <c r="Y130" i="1" s="1"/>
  <c r="J131" i="1"/>
  <c r="Y131" i="1" s="1"/>
  <c r="J132" i="1"/>
  <c r="Y132" i="1" s="1"/>
  <c r="J133" i="1"/>
  <c r="Y133" i="1" s="1"/>
  <c r="J134" i="1"/>
  <c r="Y134" i="1" s="1"/>
  <c r="J135" i="1"/>
  <c r="Y135" i="1" s="1"/>
  <c r="J136" i="1"/>
  <c r="Y136" i="1" s="1"/>
  <c r="J137" i="1"/>
  <c r="Y137" i="1" s="1"/>
  <c r="J138" i="1"/>
  <c r="Y138" i="1" s="1"/>
  <c r="J139" i="1"/>
  <c r="Y139" i="1" s="1"/>
  <c r="J140" i="1"/>
  <c r="Y140" i="1" s="1"/>
  <c r="J141" i="1"/>
  <c r="Y141" i="1" s="1"/>
  <c r="J142" i="1"/>
  <c r="Y142" i="1" s="1"/>
  <c r="J143" i="1"/>
  <c r="Y143" i="1" s="1"/>
  <c r="J144" i="1"/>
  <c r="Y144" i="1" s="1"/>
  <c r="J145" i="1"/>
  <c r="Y145" i="1" s="1"/>
  <c r="J146" i="1"/>
  <c r="Y146" i="1" s="1"/>
  <c r="J147" i="1"/>
  <c r="Y147" i="1" s="1"/>
  <c r="J148" i="1"/>
  <c r="Y148" i="1" s="1"/>
  <c r="J149" i="1"/>
  <c r="Y149" i="1" s="1"/>
  <c r="J150" i="1"/>
  <c r="Y150" i="1" s="1"/>
  <c r="J151" i="1"/>
  <c r="Y151" i="1" s="1"/>
  <c r="J152" i="1"/>
  <c r="Y152" i="1" s="1"/>
  <c r="J153" i="1"/>
  <c r="Y153" i="1" s="1"/>
  <c r="J154" i="1"/>
  <c r="Y154" i="1" s="1"/>
  <c r="J155" i="1"/>
  <c r="Y155" i="1" s="1"/>
  <c r="J156" i="1"/>
  <c r="Y156" i="1" s="1"/>
  <c r="J157" i="1"/>
  <c r="Y157" i="1" s="1"/>
  <c r="J158" i="1"/>
  <c r="Y158" i="1" s="1"/>
  <c r="J159" i="1"/>
  <c r="Y159" i="1" s="1"/>
  <c r="J160" i="1"/>
  <c r="Y160" i="1" s="1"/>
  <c r="J161" i="1"/>
  <c r="Y161" i="1" s="1"/>
  <c r="J162" i="1"/>
  <c r="Y162" i="1" s="1"/>
  <c r="J163" i="1"/>
  <c r="Y163" i="1" s="1"/>
  <c r="J164" i="1"/>
  <c r="Y164" i="1" s="1"/>
  <c r="J165" i="1"/>
  <c r="Y165" i="1" s="1"/>
  <c r="J166" i="1"/>
  <c r="Y166" i="1" s="1"/>
  <c r="J167" i="1"/>
  <c r="Y167" i="1" s="1"/>
  <c r="J168" i="1"/>
  <c r="Y168" i="1" s="1"/>
  <c r="J169" i="1"/>
  <c r="Y169" i="1" s="1"/>
  <c r="J170" i="1"/>
  <c r="Y170" i="1" s="1"/>
  <c r="J171" i="1"/>
  <c r="Y171" i="1" s="1"/>
  <c r="J172" i="1"/>
  <c r="Y172" i="1" s="1"/>
  <c r="J173" i="1"/>
  <c r="Y173" i="1" s="1"/>
  <c r="J174" i="1"/>
  <c r="Y174" i="1" s="1"/>
  <c r="J175" i="1"/>
  <c r="Y175" i="1" s="1"/>
  <c r="J176" i="1"/>
  <c r="Y176" i="1" s="1"/>
  <c r="J177" i="1"/>
  <c r="Y177" i="1" s="1"/>
  <c r="J178" i="1"/>
  <c r="Y178" i="1" s="1"/>
  <c r="J179" i="1"/>
  <c r="Y179" i="1" s="1"/>
  <c r="J180" i="1"/>
  <c r="Y180" i="1" s="1"/>
  <c r="J181" i="1"/>
  <c r="Y181" i="1" s="1"/>
  <c r="J182" i="1"/>
  <c r="Y182" i="1" s="1"/>
  <c r="J183" i="1"/>
  <c r="Y183" i="1" s="1"/>
  <c r="J184" i="1"/>
  <c r="Y184" i="1" s="1"/>
  <c r="J185" i="1"/>
  <c r="Y185" i="1" s="1"/>
  <c r="J186" i="1"/>
  <c r="Y186" i="1" s="1"/>
  <c r="J187" i="1"/>
  <c r="Y187" i="1" s="1"/>
  <c r="J188" i="1"/>
  <c r="Y188" i="1" s="1"/>
  <c r="J189" i="1"/>
  <c r="Y189" i="1" s="1"/>
  <c r="J190" i="1"/>
  <c r="Y190" i="1" s="1"/>
  <c r="J191" i="1"/>
  <c r="Y191" i="1" s="1"/>
  <c r="J192" i="1"/>
  <c r="Y192" i="1" s="1"/>
  <c r="J193" i="1"/>
  <c r="Y193" i="1" s="1"/>
  <c r="J194" i="1"/>
  <c r="Y194" i="1" s="1"/>
  <c r="J195" i="1"/>
  <c r="Y195" i="1" s="1"/>
  <c r="J196" i="1"/>
  <c r="Y196" i="1" s="1"/>
  <c r="J197" i="1"/>
  <c r="Y197" i="1" s="1"/>
  <c r="J198" i="1"/>
  <c r="Y198" i="1" s="1"/>
  <c r="J199" i="1"/>
  <c r="Y199" i="1" s="1"/>
  <c r="J200" i="1"/>
  <c r="Y200" i="1" s="1"/>
  <c r="J201" i="1"/>
  <c r="Y201" i="1" s="1"/>
  <c r="J202" i="1"/>
  <c r="Y202" i="1" s="1"/>
  <c r="J203" i="1"/>
  <c r="Y203" i="1" s="1"/>
  <c r="J204" i="1"/>
  <c r="Y204" i="1" s="1"/>
  <c r="J205" i="1"/>
  <c r="Y205" i="1" s="1"/>
  <c r="J206" i="1"/>
  <c r="Y206" i="1" s="1"/>
  <c r="J207" i="1"/>
  <c r="Y207" i="1" s="1"/>
  <c r="J208" i="1"/>
  <c r="Y208" i="1" s="1"/>
  <c r="J209" i="1"/>
  <c r="Y209" i="1" s="1"/>
  <c r="J210" i="1"/>
  <c r="Y210" i="1" s="1"/>
  <c r="J211" i="1"/>
  <c r="Y211" i="1" s="1"/>
  <c r="J212" i="1"/>
  <c r="Y212" i="1" s="1"/>
  <c r="J213" i="1"/>
  <c r="Y213" i="1" s="1"/>
  <c r="J214" i="1"/>
  <c r="Y214" i="1" s="1"/>
  <c r="J215" i="1"/>
  <c r="Y215" i="1" s="1"/>
  <c r="J216" i="1"/>
  <c r="Y216" i="1" s="1"/>
  <c r="J217" i="1"/>
  <c r="Y217" i="1" s="1"/>
  <c r="J218" i="1"/>
  <c r="Y218" i="1" s="1"/>
  <c r="J219" i="1"/>
  <c r="Y219" i="1" s="1"/>
  <c r="J220" i="1"/>
  <c r="Y220" i="1" s="1"/>
  <c r="J221" i="1"/>
  <c r="Y221" i="1" s="1"/>
  <c r="J222" i="1"/>
  <c r="Y222" i="1" s="1"/>
  <c r="J223" i="1"/>
  <c r="Y223" i="1" s="1"/>
  <c r="J224" i="1"/>
  <c r="Y224" i="1" s="1"/>
  <c r="J225" i="1"/>
  <c r="Y225" i="1" s="1"/>
  <c r="J226" i="1"/>
  <c r="Y226" i="1" s="1"/>
  <c r="J227" i="1"/>
  <c r="Y227" i="1" s="1"/>
  <c r="J228" i="1"/>
  <c r="Y228" i="1" s="1"/>
  <c r="J229" i="1"/>
  <c r="Y229" i="1" s="1"/>
  <c r="J230" i="1"/>
  <c r="Y230" i="1" s="1"/>
  <c r="J231" i="1"/>
  <c r="Y231" i="1" s="1"/>
  <c r="J232" i="1"/>
  <c r="Y232" i="1" s="1"/>
  <c r="J233" i="1"/>
  <c r="Y233" i="1" s="1"/>
  <c r="J234" i="1"/>
  <c r="Y234" i="1" s="1"/>
  <c r="J235" i="1"/>
  <c r="Y235" i="1" s="1"/>
  <c r="J236" i="1"/>
  <c r="Y236" i="1" s="1"/>
  <c r="J237" i="1"/>
  <c r="Y237" i="1" s="1"/>
  <c r="J238" i="1"/>
  <c r="Y238" i="1" s="1"/>
  <c r="J239" i="1"/>
  <c r="Y239" i="1" s="1"/>
  <c r="J240" i="1"/>
  <c r="Y240" i="1" s="1"/>
  <c r="J241" i="1"/>
  <c r="Y241" i="1" s="1"/>
  <c r="J242" i="1"/>
  <c r="Y242" i="1" s="1"/>
  <c r="J243" i="1"/>
  <c r="Y243" i="1" s="1"/>
  <c r="J244" i="1"/>
  <c r="Y244" i="1" s="1"/>
  <c r="J2" i="1"/>
  <c r="I3" i="1"/>
  <c r="X3" i="1" s="1"/>
  <c r="AB3" i="1" s="1"/>
  <c r="I4" i="1"/>
  <c r="X4" i="1" s="1"/>
  <c r="AB4" i="1" s="1"/>
  <c r="I5" i="1"/>
  <c r="X5" i="1" s="1"/>
  <c r="AB5" i="1" s="1"/>
  <c r="I6" i="1"/>
  <c r="X6" i="1" s="1"/>
  <c r="AB6" i="1" s="1"/>
  <c r="I7" i="1"/>
  <c r="X7" i="1" s="1"/>
  <c r="AB7" i="1" s="1"/>
  <c r="I8" i="1"/>
  <c r="X8" i="1" s="1"/>
  <c r="I9" i="1"/>
  <c r="X9" i="1" s="1"/>
  <c r="I10" i="1"/>
  <c r="X10" i="1" s="1"/>
  <c r="I11" i="1"/>
  <c r="X11" i="1" s="1"/>
  <c r="AB11" i="1" s="1"/>
  <c r="I12" i="1"/>
  <c r="X12" i="1" s="1"/>
  <c r="AB12" i="1" s="1"/>
  <c r="I13" i="1"/>
  <c r="X13" i="1" s="1"/>
  <c r="AB13" i="1" s="1"/>
  <c r="I14" i="1"/>
  <c r="X14" i="1" s="1"/>
  <c r="AB14" i="1" s="1"/>
  <c r="I15" i="1"/>
  <c r="X15" i="1" s="1"/>
  <c r="AB15" i="1" s="1"/>
  <c r="I16" i="1"/>
  <c r="X16" i="1" s="1"/>
  <c r="I17" i="1"/>
  <c r="X17" i="1" s="1"/>
  <c r="I18" i="1"/>
  <c r="X18" i="1" s="1"/>
  <c r="I19" i="1"/>
  <c r="X19" i="1" s="1"/>
  <c r="AB19" i="1" s="1"/>
  <c r="I20" i="1"/>
  <c r="X20" i="1" s="1"/>
  <c r="AB20" i="1" s="1"/>
  <c r="I21" i="1"/>
  <c r="X21" i="1" s="1"/>
  <c r="AB21" i="1" s="1"/>
  <c r="I22" i="1"/>
  <c r="X22" i="1" s="1"/>
  <c r="AB22" i="1" s="1"/>
  <c r="I23" i="1"/>
  <c r="X23" i="1" s="1"/>
  <c r="AB23" i="1" s="1"/>
  <c r="I24" i="1"/>
  <c r="X24" i="1" s="1"/>
  <c r="I25" i="1"/>
  <c r="X25" i="1" s="1"/>
  <c r="I26" i="1"/>
  <c r="X26" i="1" s="1"/>
  <c r="I27" i="1"/>
  <c r="X27" i="1" s="1"/>
  <c r="AB27" i="1" s="1"/>
  <c r="I28" i="1"/>
  <c r="X28" i="1" s="1"/>
  <c r="AB28" i="1" s="1"/>
  <c r="I29" i="1"/>
  <c r="X29" i="1" s="1"/>
  <c r="AB29" i="1" s="1"/>
  <c r="I30" i="1"/>
  <c r="X30" i="1" s="1"/>
  <c r="AB30" i="1" s="1"/>
  <c r="I31" i="1"/>
  <c r="X31" i="1" s="1"/>
  <c r="AB31" i="1" s="1"/>
  <c r="I32" i="1"/>
  <c r="X32" i="1" s="1"/>
  <c r="I33" i="1"/>
  <c r="X33" i="1" s="1"/>
  <c r="I34" i="1"/>
  <c r="X34" i="1" s="1"/>
  <c r="I35" i="1"/>
  <c r="X35" i="1" s="1"/>
  <c r="AB35" i="1" s="1"/>
  <c r="I36" i="1"/>
  <c r="X36" i="1" s="1"/>
  <c r="AB36" i="1" s="1"/>
  <c r="I37" i="1"/>
  <c r="X37" i="1" s="1"/>
  <c r="AB37" i="1" s="1"/>
  <c r="I38" i="1"/>
  <c r="X38" i="1" s="1"/>
  <c r="AB38" i="1" s="1"/>
  <c r="I39" i="1"/>
  <c r="X39" i="1" s="1"/>
  <c r="AB39" i="1" s="1"/>
  <c r="I40" i="1"/>
  <c r="X40" i="1" s="1"/>
  <c r="I41" i="1"/>
  <c r="X41" i="1" s="1"/>
  <c r="I42" i="1"/>
  <c r="X42" i="1" s="1"/>
  <c r="I43" i="1"/>
  <c r="X43" i="1" s="1"/>
  <c r="AB43" i="1" s="1"/>
  <c r="I44" i="1"/>
  <c r="X44" i="1" s="1"/>
  <c r="AB44" i="1" s="1"/>
  <c r="I45" i="1"/>
  <c r="X45" i="1" s="1"/>
  <c r="AB45" i="1" s="1"/>
  <c r="I46" i="1"/>
  <c r="X46" i="1" s="1"/>
  <c r="AB46" i="1" s="1"/>
  <c r="I47" i="1"/>
  <c r="X47" i="1" s="1"/>
  <c r="AB47" i="1" s="1"/>
  <c r="I48" i="1"/>
  <c r="X48" i="1" s="1"/>
  <c r="I49" i="1"/>
  <c r="X49" i="1" s="1"/>
  <c r="I50" i="1"/>
  <c r="X50" i="1" s="1"/>
  <c r="I51" i="1"/>
  <c r="X51" i="1" s="1"/>
  <c r="AB51" i="1" s="1"/>
  <c r="I52" i="1"/>
  <c r="X52" i="1" s="1"/>
  <c r="AB52" i="1" s="1"/>
  <c r="I53" i="1"/>
  <c r="X53" i="1" s="1"/>
  <c r="AB53" i="1" s="1"/>
  <c r="I54" i="1"/>
  <c r="X54" i="1" s="1"/>
  <c r="AB54" i="1" s="1"/>
  <c r="I55" i="1"/>
  <c r="X55" i="1" s="1"/>
  <c r="AB55" i="1" s="1"/>
  <c r="I56" i="1"/>
  <c r="X56" i="1" s="1"/>
  <c r="I57" i="1"/>
  <c r="X57" i="1" s="1"/>
  <c r="I58" i="1"/>
  <c r="X58" i="1" s="1"/>
  <c r="I59" i="1"/>
  <c r="X59" i="1" s="1"/>
  <c r="AB59" i="1" s="1"/>
  <c r="I60" i="1"/>
  <c r="X60" i="1" s="1"/>
  <c r="AB60" i="1" s="1"/>
  <c r="I61" i="1"/>
  <c r="X61" i="1" s="1"/>
  <c r="AB61" i="1" s="1"/>
  <c r="I62" i="1"/>
  <c r="X62" i="1" s="1"/>
  <c r="AB62" i="1" s="1"/>
  <c r="I63" i="1"/>
  <c r="X63" i="1" s="1"/>
  <c r="AB63" i="1" s="1"/>
  <c r="I64" i="1"/>
  <c r="X64" i="1" s="1"/>
  <c r="I65" i="1"/>
  <c r="X65" i="1" s="1"/>
  <c r="I66" i="1"/>
  <c r="X66" i="1" s="1"/>
  <c r="I67" i="1"/>
  <c r="X67" i="1" s="1"/>
  <c r="AB67" i="1" s="1"/>
  <c r="I68" i="1"/>
  <c r="X68" i="1" s="1"/>
  <c r="AB68" i="1" s="1"/>
  <c r="I69" i="1"/>
  <c r="X69" i="1" s="1"/>
  <c r="AB69" i="1" s="1"/>
  <c r="I70" i="1"/>
  <c r="X70" i="1" s="1"/>
  <c r="AB70" i="1" s="1"/>
  <c r="I71" i="1"/>
  <c r="X71" i="1" s="1"/>
  <c r="AB71" i="1" s="1"/>
  <c r="I72" i="1"/>
  <c r="X72" i="1" s="1"/>
  <c r="I73" i="1"/>
  <c r="X73" i="1" s="1"/>
  <c r="I74" i="1"/>
  <c r="X74" i="1" s="1"/>
  <c r="I75" i="1"/>
  <c r="X75" i="1" s="1"/>
  <c r="AB75" i="1" s="1"/>
  <c r="I76" i="1"/>
  <c r="X76" i="1" s="1"/>
  <c r="AB76" i="1" s="1"/>
  <c r="I77" i="1"/>
  <c r="X77" i="1" s="1"/>
  <c r="AB77" i="1" s="1"/>
  <c r="I78" i="1"/>
  <c r="X78" i="1" s="1"/>
  <c r="AB78" i="1" s="1"/>
  <c r="I79" i="1"/>
  <c r="X79" i="1" s="1"/>
  <c r="AB79" i="1" s="1"/>
  <c r="I80" i="1"/>
  <c r="X80" i="1" s="1"/>
  <c r="I81" i="1"/>
  <c r="X81" i="1" s="1"/>
  <c r="I82" i="1"/>
  <c r="X82" i="1" s="1"/>
  <c r="I83" i="1"/>
  <c r="X83" i="1" s="1"/>
  <c r="AB83" i="1" s="1"/>
  <c r="I84" i="1"/>
  <c r="X84" i="1" s="1"/>
  <c r="AB84" i="1" s="1"/>
  <c r="I85" i="1"/>
  <c r="X85" i="1" s="1"/>
  <c r="AB85" i="1" s="1"/>
  <c r="I86" i="1"/>
  <c r="X86" i="1" s="1"/>
  <c r="AB86" i="1" s="1"/>
  <c r="I87" i="1"/>
  <c r="X87" i="1" s="1"/>
  <c r="AB87" i="1" s="1"/>
  <c r="I88" i="1"/>
  <c r="X88" i="1" s="1"/>
  <c r="I89" i="1"/>
  <c r="X89" i="1" s="1"/>
  <c r="I90" i="1"/>
  <c r="X90" i="1" s="1"/>
  <c r="I91" i="1"/>
  <c r="X91" i="1" s="1"/>
  <c r="AB91" i="1" s="1"/>
  <c r="I92" i="1"/>
  <c r="X92" i="1" s="1"/>
  <c r="AB92" i="1" s="1"/>
  <c r="I93" i="1"/>
  <c r="X93" i="1" s="1"/>
  <c r="AB93" i="1" s="1"/>
  <c r="I94" i="1"/>
  <c r="X94" i="1" s="1"/>
  <c r="AB94" i="1" s="1"/>
  <c r="I95" i="1"/>
  <c r="X95" i="1" s="1"/>
  <c r="AB95" i="1" s="1"/>
  <c r="I96" i="1"/>
  <c r="X96" i="1" s="1"/>
  <c r="I97" i="1"/>
  <c r="X97" i="1" s="1"/>
  <c r="I98" i="1"/>
  <c r="X98" i="1" s="1"/>
  <c r="I99" i="1"/>
  <c r="X99" i="1" s="1"/>
  <c r="AB99" i="1" s="1"/>
  <c r="I100" i="1"/>
  <c r="X100" i="1" s="1"/>
  <c r="AB100" i="1" s="1"/>
  <c r="I101" i="1"/>
  <c r="X101" i="1" s="1"/>
  <c r="AB101" i="1" s="1"/>
  <c r="I102" i="1"/>
  <c r="X102" i="1" s="1"/>
  <c r="AB102" i="1" s="1"/>
  <c r="I103" i="1"/>
  <c r="X103" i="1" s="1"/>
  <c r="AB103" i="1" s="1"/>
  <c r="I104" i="1"/>
  <c r="X104" i="1" s="1"/>
  <c r="I105" i="1"/>
  <c r="X105" i="1" s="1"/>
  <c r="I106" i="1"/>
  <c r="X106" i="1" s="1"/>
  <c r="I107" i="1"/>
  <c r="X107" i="1" s="1"/>
  <c r="AB107" i="1" s="1"/>
  <c r="I108" i="1"/>
  <c r="X108" i="1" s="1"/>
  <c r="AB108" i="1" s="1"/>
  <c r="I109" i="1"/>
  <c r="X109" i="1" s="1"/>
  <c r="AB109" i="1" s="1"/>
  <c r="I110" i="1"/>
  <c r="X110" i="1" s="1"/>
  <c r="AB110" i="1" s="1"/>
  <c r="I111" i="1"/>
  <c r="X111" i="1" s="1"/>
  <c r="AB111" i="1" s="1"/>
  <c r="I112" i="1"/>
  <c r="X112" i="1" s="1"/>
  <c r="I113" i="1"/>
  <c r="X113" i="1" s="1"/>
  <c r="I114" i="1"/>
  <c r="X114" i="1" s="1"/>
  <c r="I115" i="1"/>
  <c r="X115" i="1" s="1"/>
  <c r="AB115" i="1" s="1"/>
  <c r="I116" i="1"/>
  <c r="X116" i="1" s="1"/>
  <c r="AB116" i="1" s="1"/>
  <c r="I117" i="1"/>
  <c r="X117" i="1" s="1"/>
  <c r="AB117" i="1" s="1"/>
  <c r="I118" i="1"/>
  <c r="X118" i="1" s="1"/>
  <c r="AB118" i="1" s="1"/>
  <c r="I119" i="1"/>
  <c r="X119" i="1" s="1"/>
  <c r="AB119" i="1" s="1"/>
  <c r="I120" i="1"/>
  <c r="X120" i="1" s="1"/>
  <c r="I121" i="1"/>
  <c r="X121" i="1" s="1"/>
  <c r="I122" i="1"/>
  <c r="X122" i="1" s="1"/>
  <c r="I123" i="1"/>
  <c r="X123" i="1" s="1"/>
  <c r="AB123" i="1" s="1"/>
  <c r="I124" i="1"/>
  <c r="X124" i="1" s="1"/>
  <c r="AB124" i="1" s="1"/>
  <c r="I125" i="1"/>
  <c r="X125" i="1" s="1"/>
  <c r="AB125" i="1" s="1"/>
  <c r="I126" i="1"/>
  <c r="X126" i="1" s="1"/>
  <c r="AB126" i="1" s="1"/>
  <c r="I127" i="1"/>
  <c r="X127" i="1" s="1"/>
  <c r="AB127" i="1" s="1"/>
  <c r="I128" i="1"/>
  <c r="X128" i="1" s="1"/>
  <c r="I129" i="1"/>
  <c r="X129" i="1" s="1"/>
  <c r="I130" i="1"/>
  <c r="X130" i="1" s="1"/>
  <c r="I131" i="1"/>
  <c r="X131" i="1" s="1"/>
  <c r="AB131" i="1" s="1"/>
  <c r="I132" i="1"/>
  <c r="X132" i="1" s="1"/>
  <c r="AB132" i="1" s="1"/>
  <c r="I133" i="1"/>
  <c r="X133" i="1" s="1"/>
  <c r="AB133" i="1" s="1"/>
  <c r="I134" i="1"/>
  <c r="X134" i="1" s="1"/>
  <c r="AB134" i="1" s="1"/>
  <c r="I135" i="1"/>
  <c r="X135" i="1" s="1"/>
  <c r="AB135" i="1" s="1"/>
  <c r="I136" i="1"/>
  <c r="X136" i="1" s="1"/>
  <c r="I137" i="1"/>
  <c r="X137" i="1" s="1"/>
  <c r="I138" i="1"/>
  <c r="X138" i="1" s="1"/>
  <c r="I139" i="1"/>
  <c r="X139" i="1" s="1"/>
  <c r="AB139" i="1" s="1"/>
  <c r="I140" i="1"/>
  <c r="X140" i="1" s="1"/>
  <c r="AB140" i="1" s="1"/>
  <c r="I141" i="1"/>
  <c r="X141" i="1" s="1"/>
  <c r="AB141" i="1" s="1"/>
  <c r="I142" i="1"/>
  <c r="X142" i="1" s="1"/>
  <c r="AB142" i="1" s="1"/>
  <c r="I143" i="1"/>
  <c r="X143" i="1" s="1"/>
  <c r="AB143" i="1" s="1"/>
  <c r="I144" i="1"/>
  <c r="X144" i="1" s="1"/>
  <c r="I145" i="1"/>
  <c r="X145" i="1" s="1"/>
  <c r="I146" i="1"/>
  <c r="X146" i="1" s="1"/>
  <c r="I147" i="1"/>
  <c r="X147" i="1" s="1"/>
  <c r="AB147" i="1" s="1"/>
  <c r="I148" i="1"/>
  <c r="X148" i="1" s="1"/>
  <c r="AB148" i="1" s="1"/>
  <c r="I149" i="1"/>
  <c r="X149" i="1" s="1"/>
  <c r="AB149" i="1" s="1"/>
  <c r="I150" i="1"/>
  <c r="X150" i="1" s="1"/>
  <c r="AB150" i="1" s="1"/>
  <c r="I151" i="1"/>
  <c r="X151" i="1" s="1"/>
  <c r="AB151" i="1" s="1"/>
  <c r="I152" i="1"/>
  <c r="X152" i="1" s="1"/>
  <c r="I153" i="1"/>
  <c r="X153" i="1" s="1"/>
  <c r="I154" i="1"/>
  <c r="X154" i="1" s="1"/>
  <c r="I155" i="1"/>
  <c r="X155" i="1" s="1"/>
  <c r="AB155" i="1" s="1"/>
  <c r="I156" i="1"/>
  <c r="X156" i="1" s="1"/>
  <c r="AB156" i="1" s="1"/>
  <c r="I157" i="1"/>
  <c r="X157" i="1" s="1"/>
  <c r="AB157" i="1" s="1"/>
  <c r="I158" i="1"/>
  <c r="X158" i="1" s="1"/>
  <c r="AB158" i="1" s="1"/>
  <c r="I159" i="1"/>
  <c r="X159" i="1" s="1"/>
  <c r="AB159" i="1" s="1"/>
  <c r="I160" i="1"/>
  <c r="X160" i="1" s="1"/>
  <c r="I161" i="1"/>
  <c r="X161" i="1" s="1"/>
  <c r="I162" i="1"/>
  <c r="X162" i="1" s="1"/>
  <c r="I163" i="1"/>
  <c r="X163" i="1" s="1"/>
  <c r="AB163" i="1" s="1"/>
  <c r="I164" i="1"/>
  <c r="X164" i="1" s="1"/>
  <c r="AB164" i="1" s="1"/>
  <c r="I165" i="1"/>
  <c r="X165" i="1" s="1"/>
  <c r="AB165" i="1" s="1"/>
  <c r="I166" i="1"/>
  <c r="X166" i="1" s="1"/>
  <c r="AB166" i="1" s="1"/>
  <c r="I167" i="1"/>
  <c r="X167" i="1" s="1"/>
  <c r="AB167" i="1" s="1"/>
  <c r="I168" i="1"/>
  <c r="X168" i="1" s="1"/>
  <c r="I169" i="1"/>
  <c r="X169" i="1" s="1"/>
  <c r="I170" i="1"/>
  <c r="X170" i="1" s="1"/>
  <c r="I171" i="1"/>
  <c r="X171" i="1" s="1"/>
  <c r="AB171" i="1" s="1"/>
  <c r="I172" i="1"/>
  <c r="X172" i="1" s="1"/>
  <c r="AB172" i="1" s="1"/>
  <c r="I173" i="1"/>
  <c r="X173" i="1" s="1"/>
  <c r="AB173" i="1" s="1"/>
  <c r="I174" i="1"/>
  <c r="X174" i="1" s="1"/>
  <c r="AB174" i="1" s="1"/>
  <c r="I175" i="1"/>
  <c r="X175" i="1" s="1"/>
  <c r="AB175" i="1" s="1"/>
  <c r="I176" i="1"/>
  <c r="X176" i="1" s="1"/>
  <c r="I177" i="1"/>
  <c r="X177" i="1" s="1"/>
  <c r="I178" i="1"/>
  <c r="X178" i="1" s="1"/>
  <c r="I179" i="1"/>
  <c r="X179" i="1" s="1"/>
  <c r="AB179" i="1" s="1"/>
  <c r="I180" i="1"/>
  <c r="X180" i="1" s="1"/>
  <c r="AB180" i="1" s="1"/>
  <c r="I181" i="1"/>
  <c r="X181" i="1" s="1"/>
  <c r="AB181" i="1" s="1"/>
  <c r="I182" i="1"/>
  <c r="X182" i="1" s="1"/>
  <c r="AB182" i="1" s="1"/>
  <c r="I183" i="1"/>
  <c r="X183" i="1" s="1"/>
  <c r="AB183" i="1" s="1"/>
  <c r="I184" i="1"/>
  <c r="X184" i="1" s="1"/>
  <c r="I185" i="1"/>
  <c r="X185" i="1" s="1"/>
  <c r="I186" i="1"/>
  <c r="X186" i="1" s="1"/>
  <c r="I187" i="1"/>
  <c r="X187" i="1" s="1"/>
  <c r="AB187" i="1" s="1"/>
  <c r="I188" i="1"/>
  <c r="X188" i="1" s="1"/>
  <c r="AB188" i="1" s="1"/>
  <c r="I189" i="1"/>
  <c r="X189" i="1" s="1"/>
  <c r="AB189" i="1" s="1"/>
  <c r="I190" i="1"/>
  <c r="X190" i="1" s="1"/>
  <c r="AB190" i="1" s="1"/>
  <c r="I191" i="1"/>
  <c r="X191" i="1" s="1"/>
  <c r="AB191" i="1" s="1"/>
  <c r="I192" i="1"/>
  <c r="X192" i="1" s="1"/>
  <c r="I193" i="1"/>
  <c r="X193" i="1" s="1"/>
  <c r="I194" i="1"/>
  <c r="X194" i="1" s="1"/>
  <c r="I195" i="1"/>
  <c r="X195" i="1" s="1"/>
  <c r="AB195" i="1" s="1"/>
  <c r="I196" i="1"/>
  <c r="X196" i="1" s="1"/>
  <c r="AB196" i="1" s="1"/>
  <c r="I197" i="1"/>
  <c r="X197" i="1" s="1"/>
  <c r="AB197" i="1" s="1"/>
  <c r="I198" i="1"/>
  <c r="X198" i="1" s="1"/>
  <c r="AB198" i="1" s="1"/>
  <c r="I199" i="1"/>
  <c r="X199" i="1" s="1"/>
  <c r="AB199" i="1" s="1"/>
  <c r="I200" i="1"/>
  <c r="X200" i="1" s="1"/>
  <c r="I201" i="1"/>
  <c r="X201" i="1" s="1"/>
  <c r="I202" i="1"/>
  <c r="X202" i="1" s="1"/>
  <c r="I203" i="1"/>
  <c r="X203" i="1" s="1"/>
  <c r="AB203" i="1" s="1"/>
  <c r="I204" i="1"/>
  <c r="X204" i="1" s="1"/>
  <c r="AB204" i="1" s="1"/>
  <c r="I205" i="1"/>
  <c r="X205" i="1" s="1"/>
  <c r="AB205" i="1" s="1"/>
  <c r="I206" i="1"/>
  <c r="X206" i="1" s="1"/>
  <c r="AB206" i="1" s="1"/>
  <c r="I207" i="1"/>
  <c r="X207" i="1" s="1"/>
  <c r="AB207" i="1" s="1"/>
  <c r="I208" i="1"/>
  <c r="X208" i="1" s="1"/>
  <c r="I209" i="1"/>
  <c r="X209" i="1" s="1"/>
  <c r="I210" i="1"/>
  <c r="X210" i="1" s="1"/>
  <c r="I211" i="1"/>
  <c r="X211" i="1" s="1"/>
  <c r="AB211" i="1" s="1"/>
  <c r="I212" i="1"/>
  <c r="X212" i="1" s="1"/>
  <c r="AB212" i="1" s="1"/>
  <c r="I213" i="1"/>
  <c r="X213" i="1" s="1"/>
  <c r="AB213" i="1" s="1"/>
  <c r="I214" i="1"/>
  <c r="X214" i="1" s="1"/>
  <c r="AB214" i="1" s="1"/>
  <c r="I215" i="1"/>
  <c r="X215" i="1" s="1"/>
  <c r="AB215" i="1" s="1"/>
  <c r="I216" i="1"/>
  <c r="X216" i="1" s="1"/>
  <c r="I217" i="1"/>
  <c r="X217" i="1" s="1"/>
  <c r="I218" i="1"/>
  <c r="X218" i="1" s="1"/>
  <c r="I219" i="1"/>
  <c r="X219" i="1" s="1"/>
  <c r="AB219" i="1" s="1"/>
  <c r="I220" i="1"/>
  <c r="X220" i="1" s="1"/>
  <c r="AB220" i="1" s="1"/>
  <c r="I221" i="1"/>
  <c r="X221" i="1" s="1"/>
  <c r="AB221" i="1" s="1"/>
  <c r="I222" i="1"/>
  <c r="X222" i="1" s="1"/>
  <c r="AB222" i="1" s="1"/>
  <c r="I223" i="1"/>
  <c r="X223" i="1" s="1"/>
  <c r="AB223" i="1" s="1"/>
  <c r="I224" i="1"/>
  <c r="X224" i="1" s="1"/>
  <c r="I225" i="1"/>
  <c r="X225" i="1" s="1"/>
  <c r="I226" i="1"/>
  <c r="X226" i="1" s="1"/>
  <c r="I227" i="1"/>
  <c r="X227" i="1" s="1"/>
  <c r="AB227" i="1" s="1"/>
  <c r="I228" i="1"/>
  <c r="X228" i="1" s="1"/>
  <c r="AB228" i="1" s="1"/>
  <c r="I229" i="1"/>
  <c r="X229" i="1" s="1"/>
  <c r="AB229" i="1" s="1"/>
  <c r="I230" i="1"/>
  <c r="X230" i="1" s="1"/>
  <c r="AB230" i="1" s="1"/>
  <c r="I231" i="1"/>
  <c r="X231" i="1" s="1"/>
  <c r="AB231" i="1" s="1"/>
  <c r="I232" i="1"/>
  <c r="X232" i="1" s="1"/>
  <c r="I233" i="1"/>
  <c r="X233" i="1" s="1"/>
  <c r="I234" i="1"/>
  <c r="X234" i="1" s="1"/>
  <c r="I235" i="1"/>
  <c r="X235" i="1" s="1"/>
  <c r="AB235" i="1" s="1"/>
  <c r="I236" i="1"/>
  <c r="X236" i="1" s="1"/>
  <c r="AB236" i="1" s="1"/>
  <c r="I237" i="1"/>
  <c r="X237" i="1" s="1"/>
  <c r="AB237" i="1" s="1"/>
  <c r="I238" i="1"/>
  <c r="X238" i="1" s="1"/>
  <c r="AB238" i="1" s="1"/>
  <c r="I239" i="1"/>
  <c r="X239" i="1" s="1"/>
  <c r="AB239" i="1" s="1"/>
  <c r="I240" i="1"/>
  <c r="X240" i="1" s="1"/>
  <c r="I241" i="1"/>
  <c r="X241" i="1" s="1"/>
  <c r="I242" i="1"/>
  <c r="X242" i="1" s="1"/>
  <c r="I243" i="1"/>
  <c r="X243" i="1" s="1"/>
  <c r="AB243" i="1" s="1"/>
  <c r="I244" i="1"/>
  <c r="X244" i="1" s="1"/>
  <c r="I2" i="1"/>
  <c r="R4" i="1" l="1"/>
  <c r="X2" i="1"/>
  <c r="B4" i="16"/>
  <c r="AB234" i="1"/>
  <c r="AB218" i="1"/>
  <c r="AB202" i="1"/>
  <c r="AB194" i="1"/>
  <c r="AB178" i="1"/>
  <c r="AB162" i="1"/>
  <c r="AB146" i="1"/>
  <c r="AB130" i="1"/>
  <c r="AB122" i="1"/>
  <c r="AB106" i="1"/>
  <c r="AB90" i="1"/>
  <c r="AB74" i="1"/>
  <c r="AB58" i="1"/>
  <c r="AB50" i="1"/>
  <c r="AB34" i="1"/>
  <c r="AB18" i="1"/>
  <c r="Y2" i="1"/>
  <c r="C5" i="16"/>
  <c r="AB241" i="1"/>
  <c r="AB225" i="1"/>
  <c r="AB209" i="1"/>
  <c r="AB193" i="1"/>
  <c r="AB169" i="1"/>
  <c r="AB153" i="1"/>
  <c r="AB137" i="1"/>
  <c r="AB121" i="1"/>
  <c r="AB105" i="1"/>
  <c r="AB89" i="1"/>
  <c r="AB73" i="1"/>
  <c r="AB57" i="1"/>
  <c r="AB41" i="1"/>
  <c r="AB17" i="1"/>
  <c r="AB242" i="1"/>
  <c r="AB226" i="1"/>
  <c r="AB210" i="1"/>
  <c r="AB186" i="1"/>
  <c r="AB170" i="1"/>
  <c r="AB154" i="1"/>
  <c r="AB138" i="1"/>
  <c r="AB114" i="1"/>
  <c r="AB98" i="1"/>
  <c r="AB82" i="1"/>
  <c r="AB66" i="1"/>
  <c r="AB42" i="1"/>
  <c r="AB26" i="1"/>
  <c r="AB10" i="1"/>
  <c r="AB233" i="1"/>
  <c r="AB217" i="1"/>
  <c r="AB201" i="1"/>
  <c r="AB185" i="1"/>
  <c r="AB177" i="1"/>
  <c r="AB161" i="1"/>
  <c r="AB145" i="1"/>
  <c r="AB129" i="1"/>
  <c r="AB113" i="1"/>
  <c r="AB97" i="1"/>
  <c r="AB81" i="1"/>
  <c r="AB65" i="1"/>
  <c r="AB49" i="1"/>
  <c r="AB33" i="1"/>
  <c r="AB25" i="1"/>
  <c r="AB9" i="1"/>
  <c r="AB240" i="1"/>
  <c r="AB232" i="1"/>
  <c r="AB224" i="1"/>
  <c r="AB216" i="1"/>
  <c r="AB208" i="1"/>
  <c r="AB200" i="1"/>
  <c r="AB192" i="1"/>
  <c r="AB184" i="1"/>
  <c r="AB176" i="1"/>
  <c r="AB168" i="1"/>
  <c r="AB160" i="1"/>
  <c r="AB152" i="1"/>
  <c r="AB144" i="1"/>
  <c r="AB136" i="1"/>
  <c r="AB128" i="1"/>
  <c r="AB120" i="1"/>
  <c r="AB112" i="1"/>
  <c r="AB104" i="1"/>
  <c r="AB96" i="1"/>
  <c r="AB88" i="1"/>
  <c r="AB80" i="1"/>
  <c r="AB72" i="1"/>
  <c r="AB64" i="1"/>
  <c r="AB56" i="1"/>
  <c r="AB48" i="1"/>
  <c r="AB40" i="1"/>
  <c r="AB32" i="1"/>
  <c r="AB24" i="1"/>
  <c r="AB16" i="1"/>
  <c r="AB8" i="1"/>
  <c r="AB2" i="1" l="1"/>
</calcChain>
</file>

<file path=xl/sharedStrings.xml><?xml version="1.0" encoding="utf-8"?>
<sst xmlns="http://schemas.openxmlformats.org/spreadsheetml/2006/main" count="1090" uniqueCount="78">
  <si>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</si>
  <si>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</si>
  <si>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</si>
  <si>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</si>
  <si>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</si>
  <si>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</si>
  <si>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</si>
  <si>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</si>
  <si>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</si>
  <si>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</si>
  <si>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</si>
  <si>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</si>
  <si>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</si>
  <si>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</si>
  <si>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</si>
  <si>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</si>
  <si>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</si>
  <si>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sex_numeric</t>
  </si>
  <si>
    <t>smoker _numeric</t>
  </si>
  <si>
    <t>day _numeric</t>
  </si>
  <si>
    <t>time_numeric</t>
  </si>
  <si>
    <t>Correlation</t>
  </si>
  <si>
    <t>sex vs tip</t>
  </si>
  <si>
    <t>smoker vs tip</t>
  </si>
  <si>
    <t>day vs tip</t>
  </si>
  <si>
    <t>time vs tip</t>
  </si>
  <si>
    <t>size vs tip</t>
  </si>
  <si>
    <t>total bill vs tip</t>
  </si>
  <si>
    <t>Covariance</t>
  </si>
  <si>
    <t>Strong positive correlation</t>
  </si>
  <si>
    <t>Moderate positive correlation</t>
  </si>
  <si>
    <t>Very weak correlation</t>
  </si>
  <si>
    <t>Almost no correlation</t>
  </si>
  <si>
    <t>Weak 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</si>
  <si>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</si>
  <si>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</si>
  <si>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</si>
  <si>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</si>
  <si>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</si>
  <si>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</si>
  <si>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</si>
  <si>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</si>
  <si>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</si>
  <si>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</si>
  <si>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</si>
  <si>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</si>
  <si>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</si>
  <si>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</si>
  <si>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</si>
  <si>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</si>
  <si>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</si>
  <si>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</si>
  <si>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</si>
  <si>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</si>
  <si>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</si>
  <si>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</si>
  <si>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</si>
  <si>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</si>
  <si>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</si>
  <si>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</si>
  <si>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</si>
  <si>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Sum of tip</t>
  </si>
  <si>
    <t>Row Labels</t>
  </si>
  <si>
    <t>Grand Total</t>
  </si>
  <si>
    <t>Column Labels</t>
  </si>
  <si>
    <t>sex_wise</t>
  </si>
  <si>
    <t>time_wise</t>
  </si>
  <si>
    <t>Correlation table</t>
  </si>
  <si>
    <t>Predicted tip</t>
  </si>
  <si>
    <t>Total bill effect</t>
  </si>
  <si>
    <t>Sex effect</t>
  </si>
  <si>
    <t>Smoker effect</t>
  </si>
  <si>
    <t>Day effect</t>
  </si>
  <si>
    <t>Time effect</t>
  </si>
  <si>
    <t>Predicted Tip</t>
  </si>
  <si>
    <t>Size effect</t>
  </si>
  <si>
    <t>RMSE=</t>
  </si>
  <si>
    <t>The regression model for a given data can predict the Tips in Restaurant with Root Mean Square Error of one $ and R square of 0.46.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</si>
</sst>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1" fillId="0" borderId="0" xfId="0" applyFont="1"/>
    <xf numFmtId="0" fontId="0" fillId="0" borderId="0" xfId="0" applyFont="1" applyBorder="1"/>
    <xf numFmtId="0" fontId="0" fillId="0" borderId="7" xfId="0" applyFont="1" applyBorder="1"/>
    <xf numFmtId="0" fontId="1" fillId="2" borderId="0" xfId="0" applyFont="1" applyFill="1"/>
    <xf numFmtId="0" fontId="2" fillId="0" borderId="3" xfId="0" applyFont="1" applyFill="1" applyBorder="1" applyAlignment="1">
      <alignment horizontal="centerContinuous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Border="1"/>
    <xf numFmtId="0" fontId="3" fillId="4" borderId="0" xfId="0" applyFont="1" applyFill="1"/>
    <xf numFmtId="0" fontId="0" fillId="4" borderId="0" xfId="0" applyFill="1"/>
    <xf numFmtId="0" fontId="0" fillId="4" borderId="0" xfId="0" applyFill="1" applyBorder="1"/>
    <xf numFmtId="0" fontId="0" fillId="3" borderId="0" xfId="0" applyFill="1"/>
    <xf numFmtId="0" fontId="0" fillId="4" borderId="0" xfId="0" applyFill="1" applyBorder="1" applyAlignment="1"/>
    <xf numFmtId="0" fontId="0" fillId="4" borderId="2" xfId="0" applyFill="1" applyBorder="1" applyAlignment="1"/>
    <xf numFmtId="0" fontId="4" fillId="5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[PREDICTING  RESTAURANT TIPS PROJECT.xlsx]pivot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tips by sex</a:t>
            </a:r>
          </a:p>
        </c:rich>
      </c:tx>
      <c:layout>
        <c:manualLayout>
          <c:xMode val="edge"/>
          <c:yMode val="edge"/>
          <c:x val="0.35505570353891636"/>
          <c:y val="5.6285050699597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chart'!$A$4:$A$6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chart'!$B$4:$B$6</c:f>
              <c:numCache>
                <c:formatCode>General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[PREDICTING  RESTAURANT TIPS PROJECT.xlsx]pivot 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tips sex and time</a:t>
            </a:r>
          </a:p>
          <a:p>
            <a:pPr>
              <a:defRPr/>
            </a:pPr>
            <a:r>
              <a:rPr lang="en-IN" baseline="0"/>
              <a:t> </a:t>
            </a:r>
            <a:endParaRPr lang="en-IN"/>
          </a:p>
        </c:rich>
      </c:tx>
      <c:layout>
        <c:manualLayout>
          <c:xMode val="edge"/>
          <c:yMode val="edge"/>
          <c:x val="0.29467753891771681"/>
          <c:y val="5.4373405089811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83E-2"/>
          <c:y val="0.25360892388451445"/>
          <c:w val="0.7511784776902886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chart'!$B$16:$B$17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chart'!$A$18:$A$20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'pivot chart'!$B$18:$B$20</c:f>
              <c:numCache>
                <c:formatCode>General</c:formatCode>
                <c:ptCount val="2"/>
                <c:pt idx="0">
                  <c:v>156.10999999999999</c:v>
                </c:pt>
                <c:pt idx="1">
                  <c:v>88.40000000000002</c:v>
                </c:pt>
              </c:numCache>
            </c:numRef>
          </c:val>
        </c:ser>
        <c:ser>
          <c:idx val="1"/>
          <c:order val="1"/>
          <c:tx>
            <c:strRef>
              <c:f>'pivot chart'!$C$16:$C$17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chart'!$A$18:$A$20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'pivot chart'!$C$18:$C$20</c:f>
              <c:numCache>
                <c:formatCode>General</c:formatCode>
                <c:ptCount val="2"/>
                <c:pt idx="0">
                  <c:v>389.96000000000004</c:v>
                </c:pt>
                <c:pt idx="1">
                  <c:v>95.11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1552616"/>
        <c:axId val="301553400"/>
      </c:barChart>
      <c:catAx>
        <c:axId val="30155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53400"/>
        <c:crosses val="autoZero"/>
        <c:auto val="1"/>
        <c:lblAlgn val="ctr"/>
        <c:lblOffset val="100"/>
        <c:noMultiLvlLbl val="0"/>
      </c:catAx>
      <c:valAx>
        <c:axId val="301553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tip by total bill </a:t>
            </a:r>
          </a:p>
        </c:rich>
      </c:tx>
      <c:layout>
        <c:manualLayout>
          <c:xMode val="edge"/>
          <c:yMode val="edge"/>
          <c:x val="0.317006780402449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tips!$G$1</c:f>
              <c:strCache>
                <c:ptCount val="1"/>
                <c:pt idx="0">
                  <c:v>tip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tips!$F$2:$F$244</c:f>
              <c:numCache>
                <c:formatCode>General</c:formatCode>
                <c:ptCount val="243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16.399999999999999</c:v>
                </c:pt>
                <c:pt idx="203">
                  <c:v>20.53</c:v>
                </c:pt>
                <c:pt idx="204">
                  <c:v>16.47</c:v>
                </c:pt>
                <c:pt idx="205">
                  <c:v>26.59</c:v>
                </c:pt>
                <c:pt idx="206">
                  <c:v>38.729999999999997</c:v>
                </c:pt>
                <c:pt idx="207">
                  <c:v>24.27</c:v>
                </c:pt>
                <c:pt idx="208">
                  <c:v>12.76</c:v>
                </c:pt>
                <c:pt idx="209">
                  <c:v>30.06</c:v>
                </c:pt>
                <c:pt idx="210">
                  <c:v>25.89</c:v>
                </c:pt>
                <c:pt idx="211">
                  <c:v>48.33</c:v>
                </c:pt>
                <c:pt idx="212">
                  <c:v>13.27</c:v>
                </c:pt>
                <c:pt idx="213">
                  <c:v>28.17</c:v>
                </c:pt>
                <c:pt idx="214">
                  <c:v>12.9</c:v>
                </c:pt>
                <c:pt idx="215">
                  <c:v>28.15</c:v>
                </c:pt>
                <c:pt idx="216">
                  <c:v>11.59</c:v>
                </c:pt>
                <c:pt idx="217">
                  <c:v>7.74</c:v>
                </c:pt>
                <c:pt idx="218">
                  <c:v>30.14</c:v>
                </c:pt>
                <c:pt idx="219">
                  <c:v>12.16</c:v>
                </c:pt>
                <c:pt idx="220">
                  <c:v>13.42</c:v>
                </c:pt>
                <c:pt idx="221">
                  <c:v>8.58</c:v>
                </c:pt>
                <c:pt idx="222">
                  <c:v>15.98</c:v>
                </c:pt>
                <c:pt idx="223">
                  <c:v>13.42</c:v>
                </c:pt>
                <c:pt idx="224">
                  <c:v>16.27</c:v>
                </c:pt>
                <c:pt idx="225">
                  <c:v>10.09</c:v>
                </c:pt>
                <c:pt idx="226">
                  <c:v>20.45</c:v>
                </c:pt>
                <c:pt idx="227">
                  <c:v>13.28</c:v>
                </c:pt>
                <c:pt idx="228">
                  <c:v>22.12</c:v>
                </c:pt>
                <c:pt idx="229">
                  <c:v>24.01</c:v>
                </c:pt>
                <c:pt idx="230">
                  <c:v>15.69</c:v>
                </c:pt>
                <c:pt idx="231">
                  <c:v>11.61</c:v>
                </c:pt>
                <c:pt idx="232">
                  <c:v>10.77</c:v>
                </c:pt>
                <c:pt idx="233">
                  <c:v>15.53</c:v>
                </c:pt>
                <c:pt idx="234">
                  <c:v>10.07</c:v>
                </c:pt>
                <c:pt idx="235">
                  <c:v>12.6</c:v>
                </c:pt>
                <c:pt idx="236">
                  <c:v>32.83</c:v>
                </c:pt>
                <c:pt idx="237">
                  <c:v>35.83</c:v>
                </c:pt>
                <c:pt idx="238">
                  <c:v>29.03</c:v>
                </c:pt>
                <c:pt idx="239">
                  <c:v>27.18</c:v>
                </c:pt>
                <c:pt idx="240">
                  <c:v>22.67</c:v>
                </c:pt>
                <c:pt idx="241">
                  <c:v>17.82</c:v>
                </c:pt>
                <c:pt idx="242">
                  <c:v>18.78</c:v>
                </c:pt>
              </c:numCache>
            </c:numRef>
          </c:xVal>
          <c:yVal>
            <c:numRef>
              <c:f>tips!$G$2:$G$244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420856"/>
        <c:axId val="398418896"/>
      </c:scatterChart>
      <c:valAx>
        <c:axId val="39842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18896"/>
        <c:crosses val="autoZero"/>
        <c:crossBetween val="midCat"/>
      </c:valAx>
      <c:valAx>
        <c:axId val="3984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2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1</xdr:row>
      <xdr:rowOff>9525</xdr:rowOff>
    </xdr:from>
    <xdr:to>
      <xdr:col>12</xdr:col>
      <xdr:colOff>6350</xdr:colOff>
      <xdr:row>13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22225</xdr:colOff>
      <xdr:row>15</xdr:row>
      <xdr:rowOff>3175</xdr:rowOff>
    </xdr:from>
    <xdr:to>
      <xdr:col>12</xdr:col>
      <xdr:colOff>38100</xdr:colOff>
      <xdr:row>28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323850</xdr:colOff>
      <xdr:row>1</xdr:row>
      <xdr:rowOff>0</xdr:rowOff>
    </xdr:from>
    <xdr:to>
      <xdr:col>20</xdr:col>
      <xdr:colOff>19050</xdr:colOff>
      <xdr:row>13</xdr:row>
      <xdr:rowOff>57150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90.904105787034" createdVersion="5" refreshedVersion="5" minRefreshableVersion="3" recordCount="243">
  <cacheSource type="worksheet">
    <worksheetSource ref="A1:G244" sheet="tips"/>
  </cacheSource>
  <cacheFields count="7"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/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3">
  <r>
    <x v="0"/>
    <s v="No"/>
    <s v="Sun"/>
    <x v="0"/>
    <n v="2"/>
    <n v="16.989999999999998"/>
    <n v="1.01"/>
  </r>
  <r>
    <x v="1"/>
    <s v="No"/>
    <s v="Sun"/>
    <x v="0"/>
    <n v="3"/>
    <n v="10.34"/>
    <n v="1.66"/>
  </r>
  <r>
    <x v="1"/>
    <s v="No"/>
    <s v="Sun"/>
    <x v="0"/>
    <n v="3"/>
    <n v="21.01"/>
    <n v="3.5"/>
  </r>
  <r>
    <x v="1"/>
    <s v="No"/>
    <s v="Sun"/>
    <x v="0"/>
    <n v="2"/>
    <n v="23.68"/>
    <n v="3.31"/>
  </r>
  <r>
    <x v="0"/>
    <s v="No"/>
    <s v="Sun"/>
    <x v="0"/>
    <n v="4"/>
    <n v="24.59"/>
    <n v="3.61"/>
  </r>
  <r>
    <x v="1"/>
    <s v="No"/>
    <s v="Sun"/>
    <x v="0"/>
    <n v="4"/>
    <n v="25.29"/>
    <n v="4.71"/>
  </r>
  <r>
    <x v="1"/>
    <s v="No"/>
    <s v="Sun"/>
    <x v="0"/>
    <n v="2"/>
    <n v="8.77"/>
    <n v="2"/>
  </r>
  <r>
    <x v="1"/>
    <s v="No"/>
    <s v="Sun"/>
    <x v="0"/>
    <n v="4"/>
    <n v="26.88"/>
    <n v="3.12"/>
  </r>
  <r>
    <x v="1"/>
    <s v="No"/>
    <s v="Sun"/>
    <x v="0"/>
    <n v="2"/>
    <n v="15.04"/>
    <n v="1.96"/>
  </r>
  <r>
    <x v="1"/>
    <s v="No"/>
    <s v="Sun"/>
    <x v="0"/>
    <n v="2"/>
    <n v="14.78"/>
    <n v="3.23"/>
  </r>
  <r>
    <x v="1"/>
    <s v="No"/>
    <s v="Sun"/>
    <x v="0"/>
    <n v="2"/>
    <n v="10.27"/>
    <n v="1.71"/>
  </r>
  <r>
    <x v="0"/>
    <s v="No"/>
    <s v="Sun"/>
    <x v="0"/>
    <n v="4"/>
    <n v="35.26"/>
    <n v="5"/>
  </r>
  <r>
    <x v="1"/>
    <s v="No"/>
    <s v="Sun"/>
    <x v="0"/>
    <n v="2"/>
    <n v="15.42"/>
    <n v="1.57"/>
  </r>
  <r>
    <x v="1"/>
    <s v="No"/>
    <s v="Sun"/>
    <x v="0"/>
    <n v="4"/>
    <n v="18.43"/>
    <n v="3"/>
  </r>
  <r>
    <x v="0"/>
    <s v="No"/>
    <s v="Sun"/>
    <x v="0"/>
    <n v="2"/>
    <n v="14.83"/>
    <n v="3.02"/>
  </r>
  <r>
    <x v="1"/>
    <s v="No"/>
    <s v="Sun"/>
    <x v="0"/>
    <n v="2"/>
    <n v="21.58"/>
    <n v="3.92"/>
  </r>
  <r>
    <x v="0"/>
    <s v="No"/>
    <s v="Sun"/>
    <x v="0"/>
    <n v="3"/>
    <n v="10.33"/>
    <n v="1.67"/>
  </r>
  <r>
    <x v="1"/>
    <s v="No"/>
    <s v="Sun"/>
    <x v="0"/>
    <n v="3"/>
    <n v="16.29"/>
    <n v="3.71"/>
  </r>
  <r>
    <x v="0"/>
    <s v="No"/>
    <s v="Sun"/>
    <x v="0"/>
    <n v="3"/>
    <n v="16.97"/>
    <n v="3.5"/>
  </r>
  <r>
    <x v="1"/>
    <s v="No"/>
    <s v="Sat"/>
    <x v="0"/>
    <n v="3"/>
    <n v="20.65"/>
    <n v="3.35"/>
  </r>
  <r>
    <x v="1"/>
    <s v="No"/>
    <s v="Sat"/>
    <x v="0"/>
    <n v="2"/>
    <n v="17.920000000000002"/>
    <n v="4.08"/>
  </r>
  <r>
    <x v="0"/>
    <s v="No"/>
    <s v="Sat"/>
    <x v="0"/>
    <n v="2"/>
    <n v="20.29"/>
    <n v="2.75"/>
  </r>
  <r>
    <x v="0"/>
    <s v="No"/>
    <s v="Sat"/>
    <x v="0"/>
    <n v="2"/>
    <n v="15.77"/>
    <n v="2.23"/>
  </r>
  <r>
    <x v="1"/>
    <s v="No"/>
    <s v="Sat"/>
    <x v="0"/>
    <n v="4"/>
    <n v="39.42"/>
    <n v="7.58"/>
  </r>
  <r>
    <x v="1"/>
    <s v="No"/>
    <s v="Sat"/>
    <x v="0"/>
    <n v="2"/>
    <n v="19.82"/>
    <n v="3.18"/>
  </r>
  <r>
    <x v="1"/>
    <s v="No"/>
    <s v="Sat"/>
    <x v="0"/>
    <n v="4"/>
    <n v="17.809999999999999"/>
    <n v="2.34"/>
  </r>
  <r>
    <x v="1"/>
    <s v="No"/>
    <s v="Sat"/>
    <x v="0"/>
    <n v="2"/>
    <n v="13.37"/>
    <n v="2"/>
  </r>
  <r>
    <x v="1"/>
    <s v="No"/>
    <s v="Sat"/>
    <x v="0"/>
    <n v="2"/>
    <n v="12.69"/>
    <n v="2"/>
  </r>
  <r>
    <x v="1"/>
    <s v="No"/>
    <s v="Sat"/>
    <x v="0"/>
    <n v="2"/>
    <n v="21.7"/>
    <n v="4.3"/>
  </r>
  <r>
    <x v="0"/>
    <s v="No"/>
    <s v="Sat"/>
    <x v="0"/>
    <n v="2"/>
    <n v="19.649999999999999"/>
    <n v="3"/>
  </r>
  <r>
    <x v="1"/>
    <s v="No"/>
    <s v="Sat"/>
    <x v="0"/>
    <n v="2"/>
    <n v="9.5500000000000007"/>
    <n v="1.45"/>
  </r>
  <r>
    <x v="1"/>
    <s v="No"/>
    <s v="Sat"/>
    <x v="0"/>
    <n v="4"/>
    <n v="18.350000000000001"/>
    <n v="2.5"/>
  </r>
  <r>
    <x v="0"/>
    <s v="No"/>
    <s v="Sat"/>
    <x v="0"/>
    <n v="2"/>
    <n v="15.06"/>
    <n v="3"/>
  </r>
  <r>
    <x v="0"/>
    <s v="No"/>
    <s v="Sat"/>
    <x v="0"/>
    <n v="4"/>
    <n v="20.69"/>
    <n v="2.4500000000000002"/>
  </r>
  <r>
    <x v="1"/>
    <s v="No"/>
    <s v="Sat"/>
    <x v="0"/>
    <n v="2"/>
    <n v="17.78"/>
    <n v="3.27"/>
  </r>
  <r>
    <x v="1"/>
    <s v="No"/>
    <s v="Sat"/>
    <x v="0"/>
    <n v="3"/>
    <n v="24.06"/>
    <n v="3.6"/>
  </r>
  <r>
    <x v="1"/>
    <s v="No"/>
    <s v="Sat"/>
    <x v="0"/>
    <n v="3"/>
    <n v="16.309999999999999"/>
    <n v="2"/>
  </r>
  <r>
    <x v="0"/>
    <s v="No"/>
    <s v="Sat"/>
    <x v="0"/>
    <n v="3"/>
    <n v="16.93"/>
    <n v="3.07"/>
  </r>
  <r>
    <x v="1"/>
    <s v="No"/>
    <s v="Sat"/>
    <x v="0"/>
    <n v="3"/>
    <n v="18.690000000000001"/>
    <n v="2.31"/>
  </r>
  <r>
    <x v="1"/>
    <s v="No"/>
    <s v="Sat"/>
    <x v="0"/>
    <n v="3"/>
    <n v="31.27"/>
    <n v="5"/>
  </r>
  <r>
    <x v="1"/>
    <s v="No"/>
    <s v="Sat"/>
    <x v="0"/>
    <n v="3"/>
    <n v="16.04"/>
    <n v="2.2400000000000002"/>
  </r>
  <r>
    <x v="1"/>
    <s v="No"/>
    <s v="Sun"/>
    <x v="0"/>
    <n v="2"/>
    <n v="17.46"/>
    <n v="2.54"/>
  </r>
  <r>
    <x v="1"/>
    <s v="No"/>
    <s v="Sun"/>
    <x v="0"/>
    <n v="2"/>
    <n v="13.94"/>
    <n v="3.06"/>
  </r>
  <r>
    <x v="1"/>
    <s v="No"/>
    <s v="Sun"/>
    <x v="0"/>
    <n v="2"/>
    <n v="9.68"/>
    <n v="1.32"/>
  </r>
  <r>
    <x v="1"/>
    <s v="No"/>
    <s v="Sun"/>
    <x v="0"/>
    <n v="4"/>
    <n v="30.4"/>
    <n v="5.6"/>
  </r>
  <r>
    <x v="1"/>
    <s v="No"/>
    <s v="Sun"/>
    <x v="0"/>
    <n v="2"/>
    <n v="18.29"/>
    <n v="3"/>
  </r>
  <r>
    <x v="1"/>
    <s v="No"/>
    <s v="Sun"/>
    <x v="0"/>
    <n v="2"/>
    <n v="22.23"/>
    <n v="5"/>
  </r>
  <r>
    <x v="1"/>
    <s v="No"/>
    <s v="Sun"/>
    <x v="0"/>
    <n v="4"/>
    <n v="32.4"/>
    <n v="6"/>
  </r>
  <r>
    <x v="1"/>
    <s v="No"/>
    <s v="Sun"/>
    <x v="0"/>
    <n v="3"/>
    <n v="28.55"/>
    <n v="2.0499999999999998"/>
  </r>
  <r>
    <x v="1"/>
    <s v="No"/>
    <s v="Sun"/>
    <x v="0"/>
    <n v="2"/>
    <n v="18.04"/>
    <n v="3"/>
  </r>
  <r>
    <x v="1"/>
    <s v="No"/>
    <s v="Sun"/>
    <x v="0"/>
    <n v="2"/>
    <n v="12.54"/>
    <n v="2.5"/>
  </r>
  <r>
    <x v="0"/>
    <s v="No"/>
    <s v="Sun"/>
    <x v="0"/>
    <n v="2"/>
    <n v="10.29"/>
    <n v="2.6"/>
  </r>
  <r>
    <x v="0"/>
    <s v="No"/>
    <s v="Sun"/>
    <x v="0"/>
    <n v="4"/>
    <n v="34.81"/>
    <n v="5.2"/>
  </r>
  <r>
    <x v="1"/>
    <s v="No"/>
    <s v="Sun"/>
    <x v="0"/>
    <n v="2"/>
    <n v="9.94"/>
    <n v="1.56"/>
  </r>
  <r>
    <x v="1"/>
    <s v="No"/>
    <s v="Sun"/>
    <x v="0"/>
    <n v="4"/>
    <n v="25.56"/>
    <n v="4.34"/>
  </r>
  <r>
    <x v="1"/>
    <s v="No"/>
    <s v="Sun"/>
    <x v="0"/>
    <n v="2"/>
    <n v="19.489999999999998"/>
    <n v="3.51"/>
  </r>
  <r>
    <x v="1"/>
    <s v="Yes"/>
    <s v="Sat"/>
    <x v="0"/>
    <n v="4"/>
    <n v="38.01"/>
    <n v="3"/>
  </r>
  <r>
    <x v="0"/>
    <s v="No"/>
    <s v="Sat"/>
    <x v="0"/>
    <n v="2"/>
    <n v="26.41"/>
    <n v="1.5"/>
  </r>
  <r>
    <x v="1"/>
    <s v="Yes"/>
    <s v="Sat"/>
    <x v="0"/>
    <n v="2"/>
    <n v="11.24"/>
    <n v="1.76"/>
  </r>
  <r>
    <x v="1"/>
    <s v="No"/>
    <s v="Sat"/>
    <x v="0"/>
    <n v="4"/>
    <n v="48.27"/>
    <n v="6.73"/>
  </r>
  <r>
    <x v="1"/>
    <s v="Yes"/>
    <s v="Sat"/>
    <x v="0"/>
    <n v="2"/>
    <n v="20.29"/>
    <n v="3.21"/>
  </r>
  <r>
    <x v="1"/>
    <s v="Yes"/>
    <s v="Sat"/>
    <x v="0"/>
    <n v="2"/>
    <n v="13.81"/>
    <n v="2"/>
  </r>
  <r>
    <x v="1"/>
    <s v="Yes"/>
    <s v="Sat"/>
    <x v="0"/>
    <n v="2"/>
    <n v="11.02"/>
    <n v="1.98"/>
  </r>
  <r>
    <x v="1"/>
    <s v="Yes"/>
    <s v="Sat"/>
    <x v="0"/>
    <n v="4"/>
    <n v="18.29"/>
    <n v="3.76"/>
  </r>
  <r>
    <x v="1"/>
    <s v="No"/>
    <s v="Sat"/>
    <x v="0"/>
    <n v="3"/>
    <n v="17.59"/>
    <n v="2.64"/>
  </r>
  <r>
    <x v="1"/>
    <s v="No"/>
    <s v="Sat"/>
    <x v="0"/>
    <n v="3"/>
    <n v="20.079999999999998"/>
    <n v="3.15"/>
  </r>
  <r>
    <x v="0"/>
    <s v="No"/>
    <s v="Sat"/>
    <x v="0"/>
    <n v="2"/>
    <n v="16.45"/>
    <n v="2.4700000000000002"/>
  </r>
  <r>
    <x v="0"/>
    <s v="Yes"/>
    <s v="Sat"/>
    <x v="0"/>
    <n v="1"/>
    <n v="3.07"/>
    <n v="1"/>
  </r>
  <r>
    <x v="1"/>
    <s v="No"/>
    <s v="Sat"/>
    <x v="0"/>
    <n v="2"/>
    <n v="20.23"/>
    <n v="2.0099999999999998"/>
  </r>
  <r>
    <x v="1"/>
    <s v="Yes"/>
    <s v="Sat"/>
    <x v="0"/>
    <n v="2"/>
    <n v="15.01"/>
    <n v="2.09"/>
  </r>
  <r>
    <x v="1"/>
    <s v="No"/>
    <s v="Sat"/>
    <x v="0"/>
    <n v="2"/>
    <n v="12.02"/>
    <n v="1.97"/>
  </r>
  <r>
    <x v="0"/>
    <s v="No"/>
    <s v="Sat"/>
    <x v="0"/>
    <n v="3"/>
    <n v="17.07"/>
    <n v="3"/>
  </r>
  <r>
    <x v="0"/>
    <s v="Yes"/>
    <s v="Sat"/>
    <x v="0"/>
    <n v="2"/>
    <n v="26.86"/>
    <n v="3.14"/>
  </r>
  <r>
    <x v="0"/>
    <s v="Yes"/>
    <s v="Sat"/>
    <x v="0"/>
    <n v="2"/>
    <n v="25.28"/>
    <n v="5"/>
  </r>
  <r>
    <x v="0"/>
    <s v="No"/>
    <s v="Sat"/>
    <x v="0"/>
    <n v="2"/>
    <n v="14.73"/>
    <n v="2.2000000000000002"/>
  </r>
  <r>
    <x v="1"/>
    <s v="No"/>
    <s v="Sat"/>
    <x v="0"/>
    <n v="2"/>
    <n v="10.51"/>
    <n v="1.25"/>
  </r>
  <r>
    <x v="1"/>
    <s v="Yes"/>
    <s v="Sat"/>
    <x v="0"/>
    <n v="2"/>
    <n v="17.920000000000002"/>
    <n v="3.08"/>
  </r>
  <r>
    <x v="1"/>
    <s v="No"/>
    <s v="Thur"/>
    <x v="1"/>
    <n v="4"/>
    <n v="27.2"/>
    <n v="4"/>
  </r>
  <r>
    <x v="1"/>
    <s v="No"/>
    <s v="Thur"/>
    <x v="1"/>
    <n v="2"/>
    <n v="22.76"/>
    <n v="3"/>
  </r>
  <r>
    <x v="1"/>
    <s v="No"/>
    <s v="Thur"/>
    <x v="1"/>
    <n v="2"/>
    <n v="17.29"/>
    <n v="2.71"/>
  </r>
  <r>
    <x v="1"/>
    <s v="Yes"/>
    <s v="Thur"/>
    <x v="1"/>
    <n v="2"/>
    <n v="19.440000000000001"/>
    <n v="3"/>
  </r>
  <r>
    <x v="1"/>
    <s v="No"/>
    <s v="Thur"/>
    <x v="1"/>
    <n v="2"/>
    <n v="16.66"/>
    <n v="3.4"/>
  </r>
  <r>
    <x v="0"/>
    <s v="No"/>
    <s v="Thur"/>
    <x v="1"/>
    <n v="1"/>
    <n v="10.07"/>
    <n v="1.83"/>
  </r>
  <r>
    <x v="1"/>
    <s v="Yes"/>
    <s v="Thur"/>
    <x v="1"/>
    <n v="2"/>
    <n v="32.68"/>
    <n v="5"/>
  </r>
  <r>
    <x v="1"/>
    <s v="No"/>
    <s v="Thur"/>
    <x v="1"/>
    <n v="2"/>
    <n v="15.98"/>
    <n v="2.0299999999999998"/>
  </r>
  <r>
    <x v="0"/>
    <s v="No"/>
    <s v="Thur"/>
    <x v="1"/>
    <n v="4"/>
    <n v="34.83"/>
    <n v="5.17"/>
  </r>
  <r>
    <x v="1"/>
    <s v="No"/>
    <s v="Thur"/>
    <x v="1"/>
    <n v="2"/>
    <n v="13.03"/>
    <n v="2"/>
  </r>
  <r>
    <x v="1"/>
    <s v="No"/>
    <s v="Thur"/>
    <x v="1"/>
    <n v="2"/>
    <n v="18.28"/>
    <n v="4"/>
  </r>
  <r>
    <x v="1"/>
    <s v="No"/>
    <s v="Thur"/>
    <x v="1"/>
    <n v="2"/>
    <n v="24.71"/>
    <n v="5.85"/>
  </r>
  <r>
    <x v="1"/>
    <s v="No"/>
    <s v="Thur"/>
    <x v="1"/>
    <n v="2"/>
    <n v="21.16"/>
    <n v="3"/>
  </r>
  <r>
    <x v="1"/>
    <s v="Yes"/>
    <s v="Fri"/>
    <x v="0"/>
    <n v="2"/>
    <n v="28.97"/>
    <n v="3"/>
  </r>
  <r>
    <x v="1"/>
    <s v="No"/>
    <s v="Fri"/>
    <x v="0"/>
    <n v="2"/>
    <n v="22.49"/>
    <n v="3.5"/>
  </r>
  <r>
    <x v="0"/>
    <s v="Yes"/>
    <s v="Fri"/>
    <x v="0"/>
    <n v="2"/>
    <n v="5.75"/>
    <n v="1"/>
  </r>
  <r>
    <x v="0"/>
    <s v="Yes"/>
    <s v="Fri"/>
    <x v="0"/>
    <n v="2"/>
    <n v="16.32"/>
    <n v="4.3"/>
  </r>
  <r>
    <x v="0"/>
    <s v="No"/>
    <s v="Fri"/>
    <x v="0"/>
    <n v="2"/>
    <n v="22.75"/>
    <n v="3.25"/>
  </r>
  <r>
    <x v="1"/>
    <s v="Yes"/>
    <s v="Fri"/>
    <x v="0"/>
    <n v="4"/>
    <n v="40.17"/>
    <n v="4.7300000000000004"/>
  </r>
  <r>
    <x v="1"/>
    <s v="Yes"/>
    <s v="Fri"/>
    <x v="0"/>
    <n v="2"/>
    <n v="27.28"/>
    <n v="4"/>
  </r>
  <r>
    <x v="1"/>
    <s v="Yes"/>
    <s v="Fri"/>
    <x v="0"/>
    <n v="2"/>
    <n v="12.03"/>
    <n v="1.5"/>
  </r>
  <r>
    <x v="1"/>
    <s v="Yes"/>
    <s v="Fri"/>
    <x v="0"/>
    <n v="2"/>
    <n v="21.01"/>
    <n v="3"/>
  </r>
  <r>
    <x v="1"/>
    <s v="No"/>
    <s v="Fri"/>
    <x v="0"/>
    <n v="2"/>
    <n v="12.46"/>
    <n v="1.5"/>
  </r>
  <r>
    <x v="0"/>
    <s v="Yes"/>
    <s v="Fri"/>
    <x v="0"/>
    <n v="2"/>
    <n v="11.35"/>
    <n v="2.5"/>
  </r>
  <r>
    <x v="0"/>
    <s v="Yes"/>
    <s v="Fri"/>
    <x v="0"/>
    <n v="2"/>
    <n v="15.38"/>
    <n v="3"/>
  </r>
  <r>
    <x v="0"/>
    <s v="Yes"/>
    <s v="Sat"/>
    <x v="0"/>
    <n v="3"/>
    <n v="44.3"/>
    <n v="2.5"/>
  </r>
  <r>
    <x v="0"/>
    <s v="Yes"/>
    <s v="Sat"/>
    <x v="0"/>
    <n v="2"/>
    <n v="22.42"/>
    <n v="3.48"/>
  </r>
  <r>
    <x v="0"/>
    <s v="No"/>
    <s v="Sat"/>
    <x v="0"/>
    <n v="2"/>
    <n v="20.92"/>
    <n v="4.08"/>
  </r>
  <r>
    <x v="1"/>
    <s v="Yes"/>
    <s v="Sat"/>
    <x v="0"/>
    <n v="2"/>
    <n v="15.36"/>
    <n v="1.64"/>
  </r>
  <r>
    <x v="1"/>
    <s v="Yes"/>
    <s v="Sat"/>
    <x v="0"/>
    <n v="2"/>
    <n v="20.49"/>
    <n v="4.0599999999999996"/>
  </r>
  <r>
    <x v="1"/>
    <s v="Yes"/>
    <s v="Sat"/>
    <x v="0"/>
    <n v="2"/>
    <n v="25.21"/>
    <n v="4.29"/>
  </r>
  <r>
    <x v="1"/>
    <s v="No"/>
    <s v="Sat"/>
    <x v="0"/>
    <n v="2"/>
    <n v="18.239999999999998"/>
    <n v="3.76"/>
  </r>
  <r>
    <x v="0"/>
    <s v="Yes"/>
    <s v="Sat"/>
    <x v="0"/>
    <n v="2"/>
    <n v="14.31"/>
    <n v="4"/>
  </r>
  <r>
    <x v="1"/>
    <s v="No"/>
    <s v="Sat"/>
    <x v="0"/>
    <n v="2"/>
    <n v="14"/>
    <n v="3"/>
  </r>
  <r>
    <x v="0"/>
    <s v="No"/>
    <s v="Sat"/>
    <x v="0"/>
    <n v="1"/>
    <n v="7.25"/>
    <n v="1"/>
  </r>
  <r>
    <x v="1"/>
    <s v="No"/>
    <s v="Sun"/>
    <x v="0"/>
    <n v="3"/>
    <n v="38.07"/>
    <n v="4"/>
  </r>
  <r>
    <x v="1"/>
    <s v="No"/>
    <s v="Sun"/>
    <x v="0"/>
    <n v="2"/>
    <n v="23.95"/>
    <n v="2.5499999999999998"/>
  </r>
  <r>
    <x v="0"/>
    <s v="No"/>
    <s v="Sun"/>
    <x v="0"/>
    <n v="3"/>
    <n v="25.71"/>
    <n v="4"/>
  </r>
  <r>
    <x v="0"/>
    <s v="No"/>
    <s v="Sun"/>
    <x v="0"/>
    <n v="2"/>
    <n v="17.309999999999999"/>
    <n v="3.5"/>
  </r>
  <r>
    <x v="1"/>
    <s v="No"/>
    <s v="Sun"/>
    <x v="0"/>
    <n v="4"/>
    <n v="29.93"/>
    <n v="5.07"/>
  </r>
  <r>
    <x v="0"/>
    <s v="No"/>
    <s v="Thur"/>
    <x v="1"/>
    <n v="2"/>
    <n v="10.65"/>
    <n v="1.5"/>
  </r>
  <r>
    <x v="0"/>
    <s v="No"/>
    <s v="Thur"/>
    <x v="1"/>
    <n v="2"/>
    <n v="12.43"/>
    <n v="1.8"/>
  </r>
  <r>
    <x v="0"/>
    <s v="No"/>
    <s v="Thur"/>
    <x v="1"/>
    <n v="4"/>
    <n v="24.08"/>
    <n v="2.92"/>
  </r>
  <r>
    <x v="1"/>
    <s v="No"/>
    <s v="Thur"/>
    <x v="1"/>
    <n v="2"/>
    <n v="11.69"/>
    <n v="2.31"/>
  </r>
  <r>
    <x v="0"/>
    <s v="No"/>
    <s v="Thur"/>
    <x v="1"/>
    <n v="2"/>
    <n v="13.42"/>
    <n v="1.68"/>
  </r>
  <r>
    <x v="1"/>
    <s v="No"/>
    <s v="Thur"/>
    <x v="1"/>
    <n v="2"/>
    <n v="14.26"/>
    <n v="2.5"/>
  </r>
  <r>
    <x v="1"/>
    <s v="No"/>
    <s v="Thur"/>
    <x v="1"/>
    <n v="2"/>
    <n v="15.95"/>
    <n v="2"/>
  </r>
  <r>
    <x v="0"/>
    <s v="No"/>
    <s v="Thur"/>
    <x v="1"/>
    <n v="2"/>
    <n v="12.48"/>
    <n v="2.52"/>
  </r>
  <r>
    <x v="0"/>
    <s v="No"/>
    <s v="Thur"/>
    <x v="1"/>
    <n v="6"/>
    <n v="29.8"/>
    <n v="4.2"/>
  </r>
  <r>
    <x v="1"/>
    <s v="No"/>
    <s v="Thur"/>
    <x v="1"/>
    <n v="2"/>
    <n v="8.52"/>
    <n v="1.48"/>
  </r>
  <r>
    <x v="0"/>
    <s v="No"/>
    <s v="Thur"/>
    <x v="1"/>
    <n v="2"/>
    <n v="14.52"/>
    <n v="2"/>
  </r>
  <r>
    <x v="0"/>
    <s v="No"/>
    <s v="Thur"/>
    <x v="1"/>
    <n v="2"/>
    <n v="11.38"/>
    <n v="2"/>
  </r>
  <r>
    <x v="1"/>
    <s v="No"/>
    <s v="Thur"/>
    <x v="1"/>
    <n v="3"/>
    <n v="22.82"/>
    <n v="2.1800000000000002"/>
  </r>
  <r>
    <x v="1"/>
    <s v="No"/>
    <s v="Thur"/>
    <x v="1"/>
    <n v="2"/>
    <n v="19.079999999999998"/>
    <n v="1.5"/>
  </r>
  <r>
    <x v="0"/>
    <s v="No"/>
    <s v="Thur"/>
    <x v="1"/>
    <n v="2"/>
    <n v="20.27"/>
    <n v="2.83"/>
  </r>
  <r>
    <x v="0"/>
    <s v="No"/>
    <s v="Thur"/>
    <x v="1"/>
    <n v="2"/>
    <n v="11.17"/>
    <n v="1.5"/>
  </r>
  <r>
    <x v="0"/>
    <s v="No"/>
    <s v="Thur"/>
    <x v="1"/>
    <n v="2"/>
    <n v="12.26"/>
    <n v="2"/>
  </r>
  <r>
    <x v="0"/>
    <s v="No"/>
    <s v="Thur"/>
    <x v="1"/>
    <n v="2"/>
    <n v="18.260000000000002"/>
    <n v="3.25"/>
  </r>
  <r>
    <x v="0"/>
    <s v="No"/>
    <s v="Thur"/>
    <x v="1"/>
    <n v="2"/>
    <n v="8.51"/>
    <n v="1.25"/>
  </r>
  <r>
    <x v="0"/>
    <s v="No"/>
    <s v="Thur"/>
    <x v="1"/>
    <n v="2"/>
    <n v="10.33"/>
    <n v="2"/>
  </r>
  <r>
    <x v="0"/>
    <s v="No"/>
    <s v="Thur"/>
    <x v="1"/>
    <n v="2"/>
    <n v="14.15"/>
    <n v="2"/>
  </r>
  <r>
    <x v="1"/>
    <s v="Yes"/>
    <s v="Thur"/>
    <x v="1"/>
    <n v="2"/>
    <n v="16"/>
    <n v="2"/>
  </r>
  <r>
    <x v="0"/>
    <s v="No"/>
    <s v="Thur"/>
    <x v="1"/>
    <n v="2"/>
    <n v="13.16"/>
    <n v="2.75"/>
  </r>
  <r>
    <x v="0"/>
    <s v="No"/>
    <s v="Thur"/>
    <x v="1"/>
    <n v="2"/>
    <n v="17.47"/>
    <n v="3.5"/>
  </r>
  <r>
    <x v="1"/>
    <s v="No"/>
    <s v="Thur"/>
    <x v="1"/>
    <n v="6"/>
    <n v="34.299999999999997"/>
    <n v="6.7"/>
  </r>
  <r>
    <x v="1"/>
    <s v="No"/>
    <s v="Thur"/>
    <x v="1"/>
    <n v="5"/>
    <n v="41.19"/>
    <n v="5"/>
  </r>
  <r>
    <x v="0"/>
    <s v="No"/>
    <s v="Thur"/>
    <x v="1"/>
    <n v="6"/>
    <n v="27.05"/>
    <n v="5"/>
  </r>
  <r>
    <x v="0"/>
    <s v="No"/>
    <s v="Thur"/>
    <x v="1"/>
    <n v="2"/>
    <n v="16.43"/>
    <n v="2.2999999999999998"/>
  </r>
  <r>
    <x v="0"/>
    <s v="No"/>
    <s v="Thur"/>
    <x v="1"/>
    <n v="2"/>
    <n v="8.35"/>
    <n v="1.5"/>
  </r>
  <r>
    <x v="0"/>
    <s v="No"/>
    <s v="Thur"/>
    <x v="1"/>
    <n v="3"/>
    <n v="18.64"/>
    <n v="1.36"/>
  </r>
  <r>
    <x v="0"/>
    <s v="No"/>
    <s v="Thur"/>
    <x v="1"/>
    <n v="2"/>
    <n v="11.87"/>
    <n v="1.63"/>
  </r>
  <r>
    <x v="1"/>
    <s v="No"/>
    <s v="Thur"/>
    <x v="1"/>
    <n v="2"/>
    <n v="9.7799999999999994"/>
    <n v="1.73"/>
  </r>
  <r>
    <x v="1"/>
    <s v="No"/>
    <s v="Thur"/>
    <x v="1"/>
    <n v="2"/>
    <n v="7.51"/>
    <n v="2"/>
  </r>
  <r>
    <x v="1"/>
    <s v="No"/>
    <s v="Sun"/>
    <x v="0"/>
    <n v="2"/>
    <n v="14.07"/>
    <n v="2.5"/>
  </r>
  <r>
    <x v="1"/>
    <s v="No"/>
    <s v="Sun"/>
    <x v="0"/>
    <n v="2"/>
    <n v="13.13"/>
    <n v="2"/>
  </r>
  <r>
    <x v="1"/>
    <s v="No"/>
    <s v="Sun"/>
    <x v="0"/>
    <n v="3"/>
    <n v="17.260000000000002"/>
    <n v="2.74"/>
  </r>
  <r>
    <x v="1"/>
    <s v="No"/>
    <s v="Sun"/>
    <x v="0"/>
    <n v="4"/>
    <n v="24.55"/>
    <n v="2"/>
  </r>
  <r>
    <x v="1"/>
    <s v="No"/>
    <s v="Sun"/>
    <x v="0"/>
    <n v="4"/>
    <n v="19.77"/>
    <n v="2"/>
  </r>
  <r>
    <x v="0"/>
    <s v="No"/>
    <s v="Sun"/>
    <x v="0"/>
    <n v="5"/>
    <n v="29.85"/>
    <n v="5.14"/>
  </r>
  <r>
    <x v="1"/>
    <s v="No"/>
    <s v="Sun"/>
    <x v="0"/>
    <n v="6"/>
    <n v="48.17"/>
    <n v="5"/>
  </r>
  <r>
    <x v="0"/>
    <s v="No"/>
    <s v="Sun"/>
    <x v="0"/>
    <n v="4"/>
    <n v="25"/>
    <n v="3.75"/>
  </r>
  <r>
    <x v="0"/>
    <s v="No"/>
    <s v="Sun"/>
    <x v="0"/>
    <n v="2"/>
    <n v="13.39"/>
    <n v="2.61"/>
  </r>
  <r>
    <x v="1"/>
    <s v="No"/>
    <s v="Sun"/>
    <x v="0"/>
    <n v="4"/>
    <n v="16.489999999999998"/>
    <n v="2"/>
  </r>
  <r>
    <x v="1"/>
    <s v="No"/>
    <s v="Sun"/>
    <x v="0"/>
    <n v="4"/>
    <n v="21.5"/>
    <n v="3.5"/>
  </r>
  <r>
    <x v="1"/>
    <s v="No"/>
    <s v="Sun"/>
    <x v="0"/>
    <n v="2"/>
    <n v="12.66"/>
    <n v="2.5"/>
  </r>
  <r>
    <x v="0"/>
    <s v="No"/>
    <s v="Sun"/>
    <x v="0"/>
    <n v="3"/>
    <n v="16.21"/>
    <n v="2"/>
  </r>
  <r>
    <x v="1"/>
    <s v="No"/>
    <s v="Sun"/>
    <x v="0"/>
    <n v="2"/>
    <n v="13.81"/>
    <n v="2"/>
  </r>
  <r>
    <x v="0"/>
    <s v="Yes"/>
    <s v="Sun"/>
    <x v="0"/>
    <n v="2"/>
    <n v="17.510000000000002"/>
    <n v="3"/>
  </r>
  <r>
    <x v="1"/>
    <s v="No"/>
    <s v="Sun"/>
    <x v="0"/>
    <n v="3"/>
    <n v="24.52"/>
    <n v="3.48"/>
  </r>
  <r>
    <x v="1"/>
    <s v="No"/>
    <s v="Sun"/>
    <x v="0"/>
    <n v="2"/>
    <n v="20.76"/>
    <n v="2.2400000000000002"/>
  </r>
  <r>
    <x v="1"/>
    <s v="No"/>
    <s v="Sun"/>
    <x v="0"/>
    <n v="4"/>
    <n v="31.71"/>
    <n v="4.5"/>
  </r>
  <r>
    <x v="0"/>
    <s v="Yes"/>
    <s v="Sat"/>
    <x v="0"/>
    <n v="2"/>
    <n v="10.59"/>
    <n v="1.61"/>
  </r>
  <r>
    <x v="0"/>
    <s v="Yes"/>
    <s v="Sat"/>
    <x v="0"/>
    <n v="2"/>
    <n v="10.63"/>
    <n v="2"/>
  </r>
  <r>
    <x v="1"/>
    <s v="Yes"/>
    <s v="Sat"/>
    <x v="0"/>
    <n v="3"/>
    <n v="50.81"/>
    <n v="10"/>
  </r>
  <r>
    <x v="1"/>
    <s v="Yes"/>
    <s v="Sat"/>
    <x v="0"/>
    <n v="2"/>
    <n v="15.81"/>
    <n v="3.16"/>
  </r>
  <r>
    <x v="1"/>
    <s v="Yes"/>
    <s v="Sun"/>
    <x v="0"/>
    <n v="2"/>
    <n v="7.25"/>
    <n v="5.15"/>
  </r>
  <r>
    <x v="1"/>
    <s v="Yes"/>
    <s v="Sun"/>
    <x v="0"/>
    <n v="2"/>
    <n v="31.85"/>
    <n v="3.18"/>
  </r>
  <r>
    <x v="1"/>
    <s v="Yes"/>
    <s v="Sun"/>
    <x v="0"/>
    <n v="2"/>
    <n v="16.82"/>
    <n v="4"/>
  </r>
  <r>
    <x v="1"/>
    <s v="Yes"/>
    <s v="Sun"/>
    <x v="0"/>
    <n v="2"/>
    <n v="32.9"/>
    <n v="3.11"/>
  </r>
  <r>
    <x v="1"/>
    <s v="Yes"/>
    <s v="Sun"/>
    <x v="0"/>
    <n v="2"/>
    <n v="17.89"/>
    <n v="2"/>
  </r>
  <r>
    <x v="1"/>
    <s v="Yes"/>
    <s v="Sun"/>
    <x v="0"/>
    <n v="2"/>
    <n v="14.48"/>
    <n v="2"/>
  </r>
  <r>
    <x v="0"/>
    <s v="Yes"/>
    <s v="Sun"/>
    <x v="0"/>
    <n v="2"/>
    <n v="9.6"/>
    <n v="4"/>
  </r>
  <r>
    <x v="1"/>
    <s v="Yes"/>
    <s v="Sun"/>
    <x v="0"/>
    <n v="2"/>
    <n v="34.630000000000003"/>
    <n v="3.55"/>
  </r>
  <r>
    <x v="1"/>
    <s v="Yes"/>
    <s v="Sun"/>
    <x v="0"/>
    <n v="4"/>
    <n v="34.65"/>
    <n v="3.68"/>
  </r>
  <r>
    <x v="1"/>
    <s v="Yes"/>
    <s v="Sun"/>
    <x v="0"/>
    <n v="2"/>
    <n v="23.33"/>
    <n v="5.65"/>
  </r>
  <r>
    <x v="1"/>
    <s v="Yes"/>
    <s v="Sun"/>
    <x v="0"/>
    <n v="3"/>
    <n v="45.35"/>
    <n v="3.5"/>
  </r>
  <r>
    <x v="1"/>
    <s v="Yes"/>
    <s v="Sun"/>
    <x v="0"/>
    <n v="4"/>
    <n v="23.17"/>
    <n v="6.5"/>
  </r>
  <r>
    <x v="1"/>
    <s v="Yes"/>
    <s v="Sun"/>
    <x v="0"/>
    <n v="2"/>
    <n v="40.549999999999997"/>
    <n v="3"/>
  </r>
  <r>
    <x v="1"/>
    <s v="No"/>
    <s v="Sun"/>
    <x v="0"/>
    <n v="5"/>
    <n v="20.69"/>
    <n v="5"/>
  </r>
  <r>
    <x v="0"/>
    <s v="Yes"/>
    <s v="Sun"/>
    <x v="0"/>
    <n v="3"/>
    <n v="20.9"/>
    <n v="3.5"/>
  </r>
  <r>
    <x v="1"/>
    <s v="Yes"/>
    <s v="Sun"/>
    <x v="0"/>
    <n v="5"/>
    <n v="30.46"/>
    <n v="2"/>
  </r>
  <r>
    <x v="0"/>
    <s v="Yes"/>
    <s v="Sun"/>
    <x v="0"/>
    <n v="3"/>
    <n v="18.149999999999999"/>
    <n v="3.5"/>
  </r>
  <r>
    <x v="1"/>
    <s v="Yes"/>
    <s v="Sun"/>
    <x v="0"/>
    <n v="3"/>
    <n v="23.1"/>
    <n v="4"/>
  </r>
  <r>
    <x v="1"/>
    <s v="Yes"/>
    <s v="Sun"/>
    <x v="0"/>
    <n v="2"/>
    <n v="15.69"/>
    <n v="1.5"/>
  </r>
  <r>
    <x v="0"/>
    <s v="Yes"/>
    <s v="Thur"/>
    <x v="1"/>
    <n v="2"/>
    <n v="19.809999999999999"/>
    <n v="4.1900000000000004"/>
  </r>
  <r>
    <x v="1"/>
    <s v="Yes"/>
    <s v="Thur"/>
    <x v="1"/>
    <n v="2"/>
    <n v="28.44"/>
    <n v="2.56"/>
  </r>
  <r>
    <x v="1"/>
    <s v="Yes"/>
    <s v="Thur"/>
    <x v="1"/>
    <n v="2"/>
    <n v="15.48"/>
    <n v="2.02"/>
  </r>
  <r>
    <x v="1"/>
    <s v="Yes"/>
    <s v="Thur"/>
    <x v="1"/>
    <n v="2"/>
    <n v="16.579999999999998"/>
    <n v="4"/>
  </r>
  <r>
    <x v="1"/>
    <s v="No"/>
    <s v="Thur"/>
    <x v="1"/>
    <n v="2"/>
    <n v="7.56"/>
    <n v="1.44"/>
  </r>
  <r>
    <x v="1"/>
    <s v="Yes"/>
    <s v="Thur"/>
    <x v="1"/>
    <n v="2"/>
    <n v="10.34"/>
    <n v="2"/>
  </r>
  <r>
    <x v="0"/>
    <s v="Yes"/>
    <s v="Thur"/>
    <x v="1"/>
    <n v="4"/>
    <n v="43.11"/>
    <n v="5"/>
  </r>
  <r>
    <x v="0"/>
    <s v="Yes"/>
    <s v="Thur"/>
    <x v="1"/>
    <n v="2"/>
    <n v="13"/>
    <n v="2"/>
  </r>
  <r>
    <x v="1"/>
    <s v="Yes"/>
    <s v="Thur"/>
    <x v="1"/>
    <n v="2"/>
    <n v="13.51"/>
    <n v="2"/>
  </r>
  <r>
    <x v="1"/>
    <s v="Yes"/>
    <s v="Thur"/>
    <x v="1"/>
    <n v="3"/>
    <n v="18.71"/>
    <n v="4"/>
  </r>
  <r>
    <x v="0"/>
    <s v="Yes"/>
    <s v="Thur"/>
    <x v="1"/>
    <n v="2"/>
    <n v="12.74"/>
    <n v="2.0099999999999998"/>
  </r>
  <r>
    <x v="0"/>
    <s v="Yes"/>
    <s v="Thur"/>
    <x v="1"/>
    <n v="2"/>
    <n v="16.399999999999999"/>
    <n v="2.5"/>
  </r>
  <r>
    <x v="1"/>
    <s v="Yes"/>
    <s v="Thur"/>
    <x v="1"/>
    <n v="4"/>
    <n v="20.53"/>
    <n v="4"/>
  </r>
  <r>
    <x v="0"/>
    <s v="Yes"/>
    <s v="Thur"/>
    <x v="1"/>
    <n v="3"/>
    <n v="16.47"/>
    <n v="3.23"/>
  </r>
  <r>
    <x v="1"/>
    <s v="Yes"/>
    <s v="Sat"/>
    <x v="0"/>
    <n v="3"/>
    <n v="26.59"/>
    <n v="3.41"/>
  </r>
  <r>
    <x v="1"/>
    <s v="Yes"/>
    <s v="Sat"/>
    <x v="0"/>
    <n v="4"/>
    <n v="38.729999999999997"/>
    <n v="3"/>
  </r>
  <r>
    <x v="1"/>
    <s v="Yes"/>
    <s v="Sat"/>
    <x v="0"/>
    <n v="2"/>
    <n v="24.27"/>
    <n v="2.0299999999999998"/>
  </r>
  <r>
    <x v="0"/>
    <s v="Yes"/>
    <s v="Sat"/>
    <x v="0"/>
    <n v="2"/>
    <n v="12.76"/>
    <n v="2.23"/>
  </r>
  <r>
    <x v="1"/>
    <s v="Yes"/>
    <s v="Sat"/>
    <x v="0"/>
    <n v="3"/>
    <n v="30.06"/>
    <n v="2"/>
  </r>
  <r>
    <x v="1"/>
    <s v="Yes"/>
    <s v="Sat"/>
    <x v="0"/>
    <n v="4"/>
    <n v="25.89"/>
    <n v="5.16"/>
  </r>
  <r>
    <x v="1"/>
    <s v="No"/>
    <s v="Sat"/>
    <x v="0"/>
    <n v="4"/>
    <n v="48.33"/>
    <n v="9"/>
  </r>
  <r>
    <x v="0"/>
    <s v="Yes"/>
    <s v="Sat"/>
    <x v="0"/>
    <n v="2"/>
    <n v="13.27"/>
    <n v="2.5"/>
  </r>
  <r>
    <x v="0"/>
    <s v="Yes"/>
    <s v="Sat"/>
    <x v="0"/>
    <n v="3"/>
    <n v="28.17"/>
    <n v="6.5"/>
  </r>
  <r>
    <x v="0"/>
    <s v="Yes"/>
    <s v="Sat"/>
    <x v="0"/>
    <n v="2"/>
    <n v="12.9"/>
    <n v="1.1000000000000001"/>
  </r>
  <r>
    <x v="1"/>
    <s v="Yes"/>
    <s v="Sat"/>
    <x v="0"/>
    <n v="5"/>
    <n v="28.15"/>
    <n v="3"/>
  </r>
  <r>
    <x v="1"/>
    <s v="Yes"/>
    <s v="Sat"/>
    <x v="0"/>
    <n v="2"/>
    <n v="11.59"/>
    <n v="1.5"/>
  </r>
  <r>
    <x v="1"/>
    <s v="Yes"/>
    <s v="Sat"/>
    <x v="0"/>
    <n v="2"/>
    <n v="7.74"/>
    <n v="1.44"/>
  </r>
  <r>
    <x v="0"/>
    <s v="Yes"/>
    <s v="Sat"/>
    <x v="0"/>
    <n v="4"/>
    <n v="30.14"/>
    <n v="3.09"/>
  </r>
  <r>
    <x v="1"/>
    <s v="Yes"/>
    <s v="Fri"/>
    <x v="1"/>
    <n v="2"/>
    <n v="12.16"/>
    <n v="2.2000000000000002"/>
  </r>
  <r>
    <x v="0"/>
    <s v="Yes"/>
    <s v="Fri"/>
    <x v="1"/>
    <n v="2"/>
    <n v="13.42"/>
    <n v="3.48"/>
  </r>
  <r>
    <x v="1"/>
    <s v="Yes"/>
    <s v="Fri"/>
    <x v="1"/>
    <n v="1"/>
    <n v="8.58"/>
    <n v="1.92"/>
  </r>
  <r>
    <x v="0"/>
    <s v="No"/>
    <s v="Fri"/>
    <x v="1"/>
    <n v="3"/>
    <n v="15.98"/>
    <n v="3"/>
  </r>
  <r>
    <x v="1"/>
    <s v="Yes"/>
    <s v="Fri"/>
    <x v="1"/>
    <n v="2"/>
    <n v="13.42"/>
    <n v="1.58"/>
  </r>
  <r>
    <x v="0"/>
    <s v="Yes"/>
    <s v="Fri"/>
    <x v="1"/>
    <n v="2"/>
    <n v="16.27"/>
    <n v="2.5"/>
  </r>
  <r>
    <x v="0"/>
    <s v="Yes"/>
    <s v="Fri"/>
    <x v="1"/>
    <n v="2"/>
    <n v="10.09"/>
    <n v="2"/>
  </r>
  <r>
    <x v="1"/>
    <s v="No"/>
    <s v="Sat"/>
    <x v="0"/>
    <n v="4"/>
    <n v="20.45"/>
    <n v="3"/>
  </r>
  <r>
    <x v="1"/>
    <s v="No"/>
    <s v="Sat"/>
    <x v="0"/>
    <n v="2"/>
    <n v="13.28"/>
    <n v="2.72"/>
  </r>
  <r>
    <x v="0"/>
    <s v="Yes"/>
    <s v="Sat"/>
    <x v="0"/>
    <n v="2"/>
    <n v="22.12"/>
    <n v="2.88"/>
  </r>
  <r>
    <x v="1"/>
    <s v="Yes"/>
    <s v="Sat"/>
    <x v="0"/>
    <n v="4"/>
    <n v="24.01"/>
    <n v="2"/>
  </r>
  <r>
    <x v="1"/>
    <s v="Yes"/>
    <s v="Sat"/>
    <x v="0"/>
    <n v="3"/>
    <n v="15.69"/>
    <n v="3"/>
  </r>
  <r>
    <x v="1"/>
    <s v="No"/>
    <s v="Sat"/>
    <x v="0"/>
    <n v="2"/>
    <n v="11.61"/>
    <n v="3.39"/>
  </r>
  <r>
    <x v="1"/>
    <s v="No"/>
    <s v="Sat"/>
    <x v="0"/>
    <n v="2"/>
    <n v="10.77"/>
    <n v="1.47"/>
  </r>
  <r>
    <x v="1"/>
    <s v="Yes"/>
    <s v="Sat"/>
    <x v="0"/>
    <n v="2"/>
    <n v="15.53"/>
    <n v="3"/>
  </r>
  <r>
    <x v="1"/>
    <s v="No"/>
    <s v="Sat"/>
    <x v="0"/>
    <n v="2"/>
    <n v="10.07"/>
    <n v="1.25"/>
  </r>
  <r>
    <x v="1"/>
    <s v="Yes"/>
    <s v="Sat"/>
    <x v="0"/>
    <n v="2"/>
    <n v="12.6"/>
    <n v="1"/>
  </r>
  <r>
    <x v="1"/>
    <s v="Yes"/>
    <s v="Sat"/>
    <x v="0"/>
    <n v="2"/>
    <n v="32.83"/>
    <n v="1.17"/>
  </r>
  <r>
    <x v="0"/>
    <s v="No"/>
    <s v="Sat"/>
    <x v="0"/>
    <n v="3"/>
    <n v="35.83"/>
    <n v="4.67"/>
  </r>
  <r>
    <x v="1"/>
    <s v="No"/>
    <s v="Sat"/>
    <x v="0"/>
    <n v="3"/>
    <n v="29.03"/>
    <n v="5.92"/>
  </r>
  <r>
    <x v="0"/>
    <s v="Yes"/>
    <s v="Sat"/>
    <x v="0"/>
    <n v="2"/>
    <n v="27.18"/>
    <n v="2"/>
  </r>
  <r>
    <x v="1"/>
    <s v="Yes"/>
    <s v="Sat"/>
    <x v="0"/>
    <n v="2"/>
    <n v="22.67"/>
    <n v="2"/>
  </r>
  <r>
    <x v="1"/>
    <s v="No"/>
    <s v="Sat"/>
    <x v="0"/>
    <n v="2"/>
    <n v="17.82"/>
    <n v="1.75"/>
  </r>
  <r>
    <x v="0"/>
    <s v="No"/>
    <s v="Thur"/>
    <x v="0"/>
    <n v="2"/>
    <n v="18.7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6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6:D20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p" fld="6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tabSelected="1" workbookViewId="0">
      <selection activeCell="S18" sqref="S18"/>
    </sheetView>
  </sheetViews>
  <sheetFormatPr defaultRowHeight="14.5" x14ac:dyDescent="0.35"/>
  <cols>
    <col min="1" max="1" width="12.36328125" customWidth="1"/>
    <col min="2" max="2" width="15.26953125" bestFit="1" customWidth="1"/>
    <col min="3" max="3" width="6.81640625" customWidth="1"/>
    <col min="4" max="4" width="10.7265625" bestFit="1" customWidth="1"/>
  </cols>
  <sheetData>
    <row r="2" spans="1:2" x14ac:dyDescent="0.35">
      <c r="A2" t="s">
        <v>65</v>
      </c>
    </row>
    <row r="3" spans="1:2" x14ac:dyDescent="0.35">
      <c r="A3" s="19" t="s">
        <v>62</v>
      </c>
      <c r="B3" t="s">
        <v>61</v>
      </c>
    </row>
    <row r="4" spans="1:2" x14ac:dyDescent="0.35">
      <c r="A4" s="20" t="s">
        <v>7</v>
      </c>
      <c r="B4" s="18">
        <v>244.51</v>
      </c>
    </row>
    <row r="5" spans="1:2" x14ac:dyDescent="0.35">
      <c r="A5" s="20" t="s">
        <v>11</v>
      </c>
      <c r="B5" s="18">
        <v>485.07000000000011</v>
      </c>
    </row>
    <row r="6" spans="1:2" x14ac:dyDescent="0.35">
      <c r="A6" s="20" t="s">
        <v>63</v>
      </c>
      <c r="B6" s="18">
        <v>729.58000000000015</v>
      </c>
    </row>
    <row r="15" spans="1:2" x14ac:dyDescent="0.35">
      <c r="A15" t="s">
        <v>66</v>
      </c>
    </row>
    <row r="16" spans="1:2" x14ac:dyDescent="0.35">
      <c r="A16" s="19" t="s">
        <v>61</v>
      </c>
      <c r="B16" s="19" t="s">
        <v>64</v>
      </c>
    </row>
    <row r="17" spans="1:4" x14ac:dyDescent="0.35">
      <c r="A17" s="19" t="s">
        <v>62</v>
      </c>
      <c r="B17" t="s">
        <v>7</v>
      </c>
      <c r="C17" t="s">
        <v>11</v>
      </c>
      <c r="D17" t="s">
        <v>63</v>
      </c>
    </row>
    <row r="18" spans="1:4" x14ac:dyDescent="0.35">
      <c r="A18" s="20" t="s">
        <v>10</v>
      </c>
      <c r="B18" s="18">
        <v>156.10999999999999</v>
      </c>
      <c r="C18" s="18">
        <v>389.96000000000004</v>
      </c>
      <c r="D18" s="18">
        <v>546.07000000000005</v>
      </c>
    </row>
    <row r="19" spans="1:4" x14ac:dyDescent="0.35">
      <c r="A19" s="20" t="s">
        <v>15</v>
      </c>
      <c r="B19" s="18">
        <v>88.40000000000002</v>
      </c>
      <c r="C19" s="18">
        <v>95.11</v>
      </c>
      <c r="D19" s="18">
        <v>183.51000000000002</v>
      </c>
    </row>
    <row r="20" spans="1:4" x14ac:dyDescent="0.35">
      <c r="A20" s="20" t="s">
        <v>63</v>
      </c>
      <c r="B20" s="18">
        <v>244.51</v>
      </c>
      <c r="C20" s="18">
        <v>485.07000000000005</v>
      </c>
      <c r="D20" s="18">
        <v>729.58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topLeftCell="A4" workbookViewId="0">
      <selection activeCell="L18" sqref="L18"/>
    </sheetView>
  </sheetViews>
  <sheetFormatPr defaultRowHeight="14.5" x14ac:dyDescent="0.35"/>
  <cols>
    <col min="1" max="1" width="15.36328125" bestFit="1" customWidth="1"/>
    <col min="2" max="2" width="11.81640625" bestFit="1" customWidth="1"/>
    <col min="3" max="3" width="15.6328125" bestFit="1" customWidth="1"/>
    <col min="4" max="4" width="12.453125" bestFit="1" customWidth="1"/>
    <col min="5" max="5" width="12.7265625" bestFit="1" customWidth="1"/>
  </cols>
  <sheetData>
    <row r="2" spans="1:8" ht="15" thickBot="1" x14ac:dyDescent="0.4">
      <c r="A2" s="21" t="s">
        <v>28</v>
      </c>
    </row>
    <row r="3" spans="1:8" x14ac:dyDescent="0.35">
      <c r="A3" s="4"/>
      <c r="B3" s="4" t="s">
        <v>17</v>
      </c>
      <c r="C3" s="4" t="s">
        <v>18</v>
      </c>
      <c r="D3" s="4" t="s">
        <v>19</v>
      </c>
      <c r="E3" s="4" t="s">
        <v>20</v>
      </c>
      <c r="F3" s="4" t="s">
        <v>4</v>
      </c>
      <c r="G3" s="4" t="s">
        <v>5</v>
      </c>
      <c r="H3" s="4" t="s">
        <v>6</v>
      </c>
    </row>
    <row r="4" spans="1:8" x14ac:dyDescent="0.35">
      <c r="A4" s="2" t="s">
        <v>17</v>
      </c>
      <c r="B4" s="2">
        <f>VARP(tips!$I$2:$I$244)</f>
        <v>0.22865755558942574</v>
      </c>
      <c r="C4" s="2"/>
      <c r="D4" s="2"/>
      <c r="E4" s="2"/>
      <c r="F4" s="2"/>
      <c r="G4" s="2"/>
      <c r="H4" s="2"/>
    </row>
    <row r="5" spans="1:8" x14ac:dyDescent="0.35">
      <c r="A5" s="2" t="s">
        <v>18</v>
      </c>
      <c r="B5" s="2">
        <v>2.3031719419465118E-3</v>
      </c>
      <c r="C5" s="2">
        <f>VARP(tips!$J$2:$J$244)</f>
        <v>0.23526223983471353</v>
      </c>
      <c r="D5" s="2"/>
      <c r="E5" s="2"/>
      <c r="F5" s="2"/>
      <c r="G5" s="2"/>
      <c r="H5" s="2"/>
    </row>
    <row r="6" spans="1:8" x14ac:dyDescent="0.35">
      <c r="A6" s="2" t="s">
        <v>19</v>
      </c>
      <c r="B6" s="2">
        <v>0.12343985503564824</v>
      </c>
      <c r="C6" s="2">
        <v>-1.3954512354146626E-2</v>
      </c>
      <c r="D6" s="2">
        <f>VARP(tips!$K$2:$K$244)</f>
        <v>1.3235109824044438</v>
      </c>
      <c r="E6" s="2"/>
      <c r="F6" s="2"/>
      <c r="G6" s="2"/>
      <c r="H6" s="2"/>
    </row>
    <row r="7" spans="1:8" x14ac:dyDescent="0.35">
      <c r="A7" s="2" t="s">
        <v>20</v>
      </c>
      <c r="B7" s="2">
        <v>4.233771952107579E-2</v>
      </c>
      <c r="C7" s="2">
        <v>1.385290182729587E-2</v>
      </c>
      <c r="D7" s="2">
        <v>0.44888143745025338</v>
      </c>
      <c r="E7" s="2">
        <f>VARP(tips!$L$2:$L$244)</f>
        <v>0.19969855543700993</v>
      </c>
      <c r="F7" s="2"/>
      <c r="G7" s="2"/>
      <c r="H7" s="2"/>
    </row>
    <row r="8" spans="1:8" x14ac:dyDescent="0.35">
      <c r="A8" s="2" t="s">
        <v>4</v>
      </c>
      <c r="B8" s="2">
        <v>3.7832986164033286E-2</v>
      </c>
      <c r="C8" s="2">
        <v>-6.018730207116138E-2</v>
      </c>
      <c r="D8" s="2">
        <v>0.17769987637385912</v>
      </c>
      <c r="E8" s="2">
        <v>4.2490135311351575E-2</v>
      </c>
      <c r="F8" s="2">
        <f>VARP(tips!$M$2:$M$244)</f>
        <v>0.90324984335043779</v>
      </c>
      <c r="G8" s="2"/>
      <c r="H8" s="2"/>
    </row>
    <row r="9" spans="1:8" x14ac:dyDescent="0.35">
      <c r="A9" s="2" t="s">
        <v>5</v>
      </c>
      <c r="B9" s="2">
        <v>0.60099866212806252</v>
      </c>
      <c r="C9" s="2">
        <v>0.38874121492319957</v>
      </c>
      <c r="D9" s="2">
        <v>1.7387713593794973</v>
      </c>
      <c r="E9" s="2">
        <v>0.71217768294128603</v>
      </c>
      <c r="F9" s="2">
        <v>5.0500094836491742</v>
      </c>
      <c r="G9" s="2">
        <f>VARP(tips!$N$2:$N$244)</f>
        <v>79.062656641094478</v>
      </c>
      <c r="H9" s="2"/>
    </row>
    <row r="10" spans="1:8" ht="15" thickBot="1" x14ac:dyDescent="0.4">
      <c r="A10" s="3" t="s">
        <v>6</v>
      </c>
      <c r="B10" s="3">
        <v>5.6359125472065556E-2</v>
      </c>
      <c r="C10" s="3">
        <v>6.5449033853240517E-3</v>
      </c>
      <c r="D10" s="3">
        <v>0.20956849396264132</v>
      </c>
      <c r="E10" s="3">
        <v>7.2633406154210919E-2</v>
      </c>
      <c r="F10" s="3">
        <v>0.64155650392047259</v>
      </c>
      <c r="G10" s="3">
        <v>8.2955092855086434</v>
      </c>
      <c r="H10" s="3">
        <f>VARP(tips!$O$2:$O$244)</f>
        <v>1.9103366898677374</v>
      </c>
    </row>
    <row r="13" spans="1:8" x14ac:dyDescent="0.35">
      <c r="A13" s="21" t="s">
        <v>67</v>
      </c>
    </row>
    <row r="14" spans="1:8" ht="15" thickBot="1" x14ac:dyDescent="0.4"/>
    <row r="15" spans="1:8" ht="15" thickBot="1" x14ac:dyDescent="0.4">
      <c r="A15" s="4"/>
      <c r="B15" s="2" t="s">
        <v>17</v>
      </c>
      <c r="C15" s="2" t="s">
        <v>18</v>
      </c>
      <c r="D15" s="2" t="s">
        <v>19</v>
      </c>
      <c r="E15" s="2" t="s">
        <v>20</v>
      </c>
      <c r="F15" s="2" t="s">
        <v>4</v>
      </c>
      <c r="G15" s="2" t="s">
        <v>5</v>
      </c>
      <c r="H15" s="3" t="s">
        <v>6</v>
      </c>
    </row>
    <row r="16" spans="1:8" x14ac:dyDescent="0.35">
      <c r="A16" s="2" t="s">
        <v>17</v>
      </c>
      <c r="B16" s="2">
        <v>1</v>
      </c>
      <c r="C16" s="2"/>
      <c r="D16" s="2"/>
      <c r="E16" s="2"/>
      <c r="F16" s="2"/>
      <c r="G16" s="2"/>
      <c r="H16" s="2"/>
    </row>
    <row r="17" spans="1:8" x14ac:dyDescent="0.35">
      <c r="A17" s="2" t="s">
        <v>18</v>
      </c>
      <c r="B17" s="2">
        <v>9.9301879660361556E-3</v>
      </c>
      <c r="C17" s="2">
        <v>1</v>
      </c>
      <c r="D17" s="2"/>
      <c r="E17" s="2"/>
      <c r="F17" s="2"/>
      <c r="G17" s="2"/>
      <c r="H17" s="2"/>
    </row>
    <row r="18" spans="1:8" x14ac:dyDescent="0.35">
      <c r="A18" s="2" t="s">
        <v>19</v>
      </c>
      <c r="B18" s="2">
        <v>0.22438759825927698</v>
      </c>
      <c r="C18" s="2">
        <v>-2.5007759039430772E-2</v>
      </c>
      <c r="D18" s="2">
        <v>1</v>
      </c>
      <c r="E18" s="2"/>
      <c r="F18" s="2"/>
      <c r="G18" s="2"/>
      <c r="H18" s="2"/>
    </row>
    <row r="19" spans="1:8" x14ac:dyDescent="0.35">
      <c r="A19" s="2" t="s">
        <v>20</v>
      </c>
      <c r="B19" s="2">
        <v>0.19812862318292873</v>
      </c>
      <c r="C19" s="2">
        <v>6.3911230776324296E-2</v>
      </c>
      <c r="D19" s="2">
        <v>0.87313301491442918</v>
      </c>
      <c r="E19" s="2">
        <v>1</v>
      </c>
      <c r="F19" s="2"/>
      <c r="G19" s="2"/>
      <c r="H19" s="2"/>
    </row>
    <row r="20" spans="1:8" x14ac:dyDescent="0.35">
      <c r="A20" s="2" t="s">
        <v>4</v>
      </c>
      <c r="B20" s="2">
        <v>8.3248016742296649E-2</v>
      </c>
      <c r="C20" s="2">
        <v>-0.13056441135746866</v>
      </c>
      <c r="D20" s="2">
        <v>0.16252471139391592</v>
      </c>
      <c r="E20" s="2">
        <v>0.10004530325852386</v>
      </c>
      <c r="F20" s="2">
        <v>1</v>
      </c>
      <c r="G20" s="2"/>
      <c r="H20" s="2"/>
    </row>
    <row r="21" spans="1:8" x14ac:dyDescent="0.35">
      <c r="A21" s="2" t="s">
        <v>5</v>
      </c>
      <c r="B21" s="2">
        <v>0.14134974370169556</v>
      </c>
      <c r="C21" s="2">
        <v>9.0136101893482673E-2</v>
      </c>
      <c r="D21" s="2">
        <v>0.1699781122161266</v>
      </c>
      <c r="E21" s="2">
        <v>0.17923185392494193</v>
      </c>
      <c r="F21" s="2">
        <v>0.59758893106572075</v>
      </c>
      <c r="G21" s="2">
        <v>1</v>
      </c>
      <c r="H21" s="2"/>
    </row>
    <row r="22" spans="1:8" ht="15" thickBot="1" x14ac:dyDescent="0.4">
      <c r="A22" s="3" t="s">
        <v>6</v>
      </c>
      <c r="B22" s="3">
        <v>8.5273975201494573E-2</v>
      </c>
      <c r="C22" s="3">
        <v>9.7627499908010239E-3</v>
      </c>
      <c r="D22" s="3">
        <v>0.13179752636389336</v>
      </c>
      <c r="E22" s="3">
        <v>0.117596390271059</v>
      </c>
      <c r="F22" s="3">
        <v>0.48840039467488378</v>
      </c>
      <c r="G22" s="3">
        <v>0.6749978565456074</v>
      </c>
      <c r="H22" s="3">
        <v>1</v>
      </c>
    </row>
  </sheetData>
  <conditionalFormatting sqref="B16:H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2"/>
  <sheetViews>
    <sheetView topLeftCell="A7" workbookViewId="0">
      <selection activeCell="L37" sqref="L37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34</v>
      </c>
    </row>
    <row r="2" spans="1:9" ht="15" thickBot="1" x14ac:dyDescent="0.4"/>
    <row r="3" spans="1:9" x14ac:dyDescent="0.35">
      <c r="A3" s="17" t="s">
        <v>35</v>
      </c>
      <c r="B3" s="17"/>
    </row>
    <row r="4" spans="1:9" x14ac:dyDescent="0.35">
      <c r="A4" s="2" t="s">
        <v>36</v>
      </c>
      <c r="B4" s="2">
        <v>0.68422646104293572</v>
      </c>
    </row>
    <row r="5" spans="1:9" x14ac:dyDescent="0.35">
      <c r="A5" s="2" t="s">
        <v>37</v>
      </c>
      <c r="B5" s="27">
        <v>0.46816584999134009</v>
      </c>
    </row>
    <row r="6" spans="1:9" x14ac:dyDescent="0.35">
      <c r="A6" s="2" t="s">
        <v>38</v>
      </c>
      <c r="B6" s="2">
        <v>0.45464464278773009</v>
      </c>
    </row>
    <row r="7" spans="1:9" x14ac:dyDescent="0.35">
      <c r="A7" s="2" t="s">
        <v>39</v>
      </c>
      <c r="B7" s="2">
        <v>1.0227987864680839</v>
      </c>
    </row>
    <row r="8" spans="1:9" ht="15" thickBot="1" x14ac:dyDescent="0.4">
      <c r="A8" s="3" t="s">
        <v>40</v>
      </c>
      <c r="B8" s="3">
        <v>243</v>
      </c>
    </row>
    <row r="10" spans="1:9" ht="15" thickBot="1" x14ac:dyDescent="0.4">
      <c r="A10" t="s">
        <v>41</v>
      </c>
    </row>
    <row r="11" spans="1:9" x14ac:dyDescent="0.35">
      <c r="A11" s="4"/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</row>
    <row r="12" spans="1:9" x14ac:dyDescent="0.35">
      <c r="A12" s="2" t="s">
        <v>42</v>
      </c>
      <c r="B12" s="2">
        <v>6</v>
      </c>
      <c r="C12" s="2">
        <v>217.32811924412201</v>
      </c>
      <c r="D12" s="2">
        <v>36.221353207353665</v>
      </c>
      <c r="E12" s="2">
        <v>34.624559992420309</v>
      </c>
      <c r="F12" s="2">
        <v>6.9884727907758078E-30</v>
      </c>
    </row>
    <row r="13" spans="1:9" x14ac:dyDescent="0.35">
      <c r="A13" s="2" t="s">
        <v>43</v>
      </c>
      <c r="B13" s="2">
        <v>236</v>
      </c>
      <c r="C13" s="2">
        <v>246.88369639373806</v>
      </c>
      <c r="D13" s="2">
        <v>1.0461173576005851</v>
      </c>
      <c r="E13" s="2"/>
      <c r="F13" s="2"/>
      <c r="G13" s="26"/>
    </row>
    <row r="14" spans="1:9" ht="15" thickBot="1" x14ac:dyDescent="0.4">
      <c r="A14" s="3" t="s">
        <v>44</v>
      </c>
      <c r="B14" s="3">
        <v>242</v>
      </c>
      <c r="C14" s="3">
        <v>464.21181563786007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51</v>
      </c>
      <c r="C16" s="4" t="s">
        <v>39</v>
      </c>
      <c r="D16" s="4" t="s">
        <v>52</v>
      </c>
      <c r="E16" s="4" t="s">
        <v>53</v>
      </c>
      <c r="F16" s="4" t="s">
        <v>54</v>
      </c>
      <c r="G16" s="4" t="s">
        <v>55</v>
      </c>
      <c r="H16" s="4" t="s">
        <v>56</v>
      </c>
      <c r="I16" s="4" t="s">
        <v>57</v>
      </c>
    </row>
    <row r="17" spans="1:9" x14ac:dyDescent="0.35">
      <c r="A17" s="2" t="s">
        <v>45</v>
      </c>
      <c r="B17" s="27">
        <v>0.67508094538181496</v>
      </c>
      <c r="C17" s="2">
        <v>0.25424114258453473</v>
      </c>
      <c r="D17" s="2">
        <v>2.6552781289415095</v>
      </c>
      <c r="E17" s="2">
        <v>8.4639992400777023E-3</v>
      </c>
      <c r="F17" s="2">
        <v>0.17420889768121228</v>
      </c>
      <c r="G17" s="2">
        <v>1.1759529930824177</v>
      </c>
      <c r="H17" s="2">
        <v>0.17420889768121228</v>
      </c>
      <c r="I17" s="2">
        <v>1.1759529930824177</v>
      </c>
    </row>
    <row r="18" spans="1:9" x14ac:dyDescent="0.35">
      <c r="A18" s="2" t="s">
        <v>17</v>
      </c>
      <c r="B18" s="27">
        <v>-3.6632514766371221E-2</v>
      </c>
      <c r="C18" s="2">
        <v>0.14164817734611235</v>
      </c>
      <c r="D18" s="2">
        <v>-0.25861620991324835</v>
      </c>
      <c r="E18" s="2">
        <v>0.7961567853551258</v>
      </c>
      <c r="F18" s="2">
        <v>-0.31568889375827835</v>
      </c>
      <c r="G18" s="2">
        <v>0.24242386422553588</v>
      </c>
      <c r="H18" s="2">
        <v>-0.31568889375827835</v>
      </c>
      <c r="I18" s="2">
        <v>0.24242386422553588</v>
      </c>
    </row>
    <row r="19" spans="1:9" x14ac:dyDescent="0.35">
      <c r="A19" s="2" t="s">
        <v>18</v>
      </c>
      <c r="B19" s="27">
        <v>-7.2844330789933256E-2</v>
      </c>
      <c r="C19" s="2">
        <v>0.14105132937442608</v>
      </c>
      <c r="D19" s="2">
        <v>-0.51643845622018369</v>
      </c>
      <c r="E19" s="2">
        <v>0.60603178137164948</v>
      </c>
      <c r="F19" s="2">
        <v>-0.35072487937647995</v>
      </c>
      <c r="G19" s="2">
        <v>0.20503621779661346</v>
      </c>
      <c r="H19" s="2">
        <v>-0.35072487937647995</v>
      </c>
      <c r="I19" s="2">
        <v>0.20503621779661346</v>
      </c>
    </row>
    <row r="20" spans="1:9" x14ac:dyDescent="0.35">
      <c r="A20" s="2" t="s">
        <v>19</v>
      </c>
      <c r="B20" s="27">
        <v>5.3005304982935736E-2</v>
      </c>
      <c r="C20" s="2">
        <v>0.12058260481989183</v>
      </c>
      <c r="D20" s="2">
        <v>0.43957671226382189</v>
      </c>
      <c r="E20" s="2">
        <v>0.66064596015396393</v>
      </c>
      <c r="F20" s="2">
        <v>-0.18455048783344555</v>
      </c>
      <c r="G20" s="2">
        <v>0.29056109779931705</v>
      </c>
      <c r="H20" s="2">
        <v>-0.18455048783344555</v>
      </c>
      <c r="I20" s="2">
        <v>0.29056109779931705</v>
      </c>
    </row>
    <row r="21" spans="1:9" x14ac:dyDescent="0.35">
      <c r="A21" s="2" t="s">
        <v>20</v>
      </c>
      <c r="B21" s="27">
        <v>-0.11600626172099011</v>
      </c>
      <c r="C21" s="2">
        <v>0.30855321573390115</v>
      </c>
      <c r="D21" s="2">
        <v>-0.37596840935547038</v>
      </c>
      <c r="E21" s="2">
        <v>0.70727812423530267</v>
      </c>
      <c r="F21" s="2">
        <v>-0.72387672445641749</v>
      </c>
      <c r="G21" s="2">
        <v>0.49186420101443723</v>
      </c>
      <c r="H21" s="2">
        <v>-0.72387672445641749</v>
      </c>
      <c r="I21" s="2">
        <v>0.49186420101443723</v>
      </c>
    </row>
    <row r="22" spans="1:9" x14ac:dyDescent="0.35">
      <c r="A22" s="2" t="s">
        <v>4</v>
      </c>
      <c r="B22" s="27">
        <v>0.17496437054700811</v>
      </c>
      <c r="C22" s="2">
        <v>8.9368964901146986E-2</v>
      </c>
      <c r="D22" s="2">
        <v>1.9577755067493523</v>
      </c>
      <c r="E22" s="2">
        <v>5.1434839462502886E-2</v>
      </c>
      <c r="F22" s="2">
        <v>-1.0984649007886871E-3</v>
      </c>
      <c r="G22" s="2">
        <v>0.35102720599480491</v>
      </c>
      <c r="H22" s="2">
        <v>-1.0984649007886871E-3</v>
      </c>
      <c r="I22" s="2">
        <v>0.35102720599480491</v>
      </c>
    </row>
    <row r="23" spans="1:9" ht="15" thickBot="1" x14ac:dyDescent="0.4">
      <c r="A23" s="3" t="s">
        <v>5</v>
      </c>
      <c r="B23" s="28">
        <v>9.4263518607442878E-2</v>
      </c>
      <c r="C23" s="3">
        <v>9.5613713006104089E-3</v>
      </c>
      <c r="D23" s="3">
        <v>9.8587865321604014</v>
      </c>
      <c r="E23" s="3">
        <v>2.0105695796112259E-19</v>
      </c>
      <c r="F23" s="3">
        <v>7.5426977937908368E-2</v>
      </c>
      <c r="G23" s="3">
        <v>0.11310005927697739</v>
      </c>
      <c r="H23" s="3">
        <v>7.5426977937908368E-2</v>
      </c>
      <c r="I23" s="3">
        <v>0.11310005927697739</v>
      </c>
    </row>
    <row r="27" spans="1:9" x14ac:dyDescent="0.35">
      <c r="A27" t="s">
        <v>58</v>
      </c>
    </row>
    <row r="28" spans="1:9" ht="15" thickBot="1" x14ac:dyDescent="0.4"/>
    <row r="29" spans="1:9" x14ac:dyDescent="0.35">
      <c r="A29" s="4" t="s">
        <v>59</v>
      </c>
      <c r="B29" s="4" t="s">
        <v>68</v>
      </c>
      <c r="C29" s="4" t="s">
        <v>60</v>
      </c>
    </row>
    <row r="30" spans="1:9" x14ac:dyDescent="0.35">
      <c r="A30" s="2">
        <v>1</v>
      </c>
      <c r="B30" s="2">
        <v>2.7225618258270385</v>
      </c>
      <c r="C30" s="2">
        <v>-1.7125618258270385</v>
      </c>
    </row>
    <row r="31" spans="1:9" x14ac:dyDescent="0.35">
      <c r="A31" s="2">
        <v>2</v>
      </c>
      <c r="B31" s="2">
        <v>2.2340412828681804</v>
      </c>
      <c r="C31" s="2">
        <v>-0.57404128286818046</v>
      </c>
    </row>
    <row r="32" spans="1:9" x14ac:dyDescent="0.35">
      <c r="A32" s="2">
        <v>3</v>
      </c>
      <c r="B32" s="2">
        <v>3.2398330264095963</v>
      </c>
      <c r="C32" s="2">
        <v>0.26016697359040375</v>
      </c>
      <c r="E32" t="s">
        <v>76</v>
      </c>
      <c r="F32" s="29">
        <f>SQRT(SUMSQ(C30:C272)/COUNTA(C30:C272))</f>
        <v>1.007959468275468</v>
      </c>
    </row>
    <row r="33" spans="1:5" x14ac:dyDescent="0.35">
      <c r="A33" s="2">
        <v>4</v>
      </c>
      <c r="B33" s="2">
        <v>3.3165522505444605</v>
      </c>
      <c r="C33" s="2">
        <v>-6.5522505444604029E-3</v>
      </c>
    </row>
    <row r="34" spans="1:5" x14ac:dyDescent="0.35">
      <c r="A34" s="2">
        <v>5</v>
      </c>
      <c r="B34" s="2">
        <v>3.7888933083376206</v>
      </c>
      <c r="C34" s="2">
        <v>-0.17889330833762074</v>
      </c>
      <c r="E34" t="s">
        <v>77</v>
      </c>
    </row>
    <row r="35" spans="1:5" x14ac:dyDescent="0.35">
      <c r="A35" s="2">
        <v>6</v>
      </c>
      <c r="B35" s="2">
        <v>3.8182452565964597</v>
      </c>
      <c r="C35" s="2">
        <v>0.89175474340354022</v>
      </c>
    </row>
    <row r="36" spans="1:5" x14ac:dyDescent="0.35">
      <c r="A36" s="2">
        <v>7</v>
      </c>
      <c r="B36" s="2">
        <v>1.9110831881074868</v>
      </c>
      <c r="C36" s="2">
        <v>8.8916811892513214E-2</v>
      </c>
    </row>
    <row r="37" spans="1:5" x14ac:dyDescent="0.35">
      <c r="A37" s="2">
        <v>8</v>
      </c>
      <c r="B37" s="2">
        <v>3.9681242511822932</v>
      </c>
      <c r="C37" s="2">
        <v>-0.84812425118229307</v>
      </c>
    </row>
    <row r="38" spans="1:5" x14ac:dyDescent="0.35">
      <c r="A38" s="2">
        <v>9</v>
      </c>
      <c r="B38" s="2">
        <v>2.502115449776154</v>
      </c>
      <c r="C38" s="2">
        <v>-0.542115449776154</v>
      </c>
    </row>
    <row r="39" spans="1:5" x14ac:dyDescent="0.35">
      <c r="A39" s="2">
        <v>10</v>
      </c>
      <c r="B39" s="2">
        <v>2.4776069349382186</v>
      </c>
      <c r="C39" s="2">
        <v>0.75239306506178139</v>
      </c>
    </row>
    <row r="40" spans="1:5" x14ac:dyDescent="0.35">
      <c r="A40" s="2">
        <v>11</v>
      </c>
      <c r="B40" s="2">
        <v>2.052478466018651</v>
      </c>
      <c r="C40" s="2">
        <v>-0.34247846601865106</v>
      </c>
    </row>
    <row r="41" spans="1:5" x14ac:dyDescent="0.35">
      <c r="A41" s="2">
        <v>12</v>
      </c>
      <c r="B41" s="2">
        <v>4.7946850518790356</v>
      </c>
      <c r="C41" s="2">
        <v>0.2053149481209644</v>
      </c>
    </row>
    <row r="42" spans="1:5" x14ac:dyDescent="0.35">
      <c r="A42" s="2">
        <v>13</v>
      </c>
      <c r="B42" s="2">
        <v>2.5379355868469817</v>
      </c>
      <c r="C42" s="2">
        <v>-0.96793558684698167</v>
      </c>
    </row>
    <row r="43" spans="1:5" x14ac:dyDescent="0.35">
      <c r="A43" s="2">
        <v>14</v>
      </c>
      <c r="B43" s="2">
        <v>3.171597518949401</v>
      </c>
      <c r="C43" s="2">
        <v>-0.17159751894940101</v>
      </c>
    </row>
    <row r="44" spans="1:5" x14ac:dyDescent="0.35">
      <c r="A44" s="2">
        <v>15</v>
      </c>
      <c r="B44" s="2">
        <v>2.5189526256349621</v>
      </c>
      <c r="C44" s="2">
        <v>0.50104737436503788</v>
      </c>
    </row>
    <row r="45" spans="1:5" x14ac:dyDescent="0.35">
      <c r="A45" s="2">
        <v>16</v>
      </c>
      <c r="B45" s="2">
        <v>3.11859886146883</v>
      </c>
      <c r="C45" s="2">
        <v>0.8014011385311699</v>
      </c>
    </row>
    <row r="46" spans="1:5" x14ac:dyDescent="0.35">
      <c r="A46" s="2">
        <v>17</v>
      </c>
      <c r="B46" s="2">
        <v>2.2697311624484771</v>
      </c>
      <c r="C46" s="2">
        <v>-0.59973116244847713</v>
      </c>
    </row>
    <row r="47" spans="1:5" x14ac:dyDescent="0.35">
      <c r="A47" s="2">
        <v>18</v>
      </c>
      <c r="B47" s="2">
        <v>2.7949092185824655</v>
      </c>
      <c r="C47" s="2">
        <v>0.91509078141753442</v>
      </c>
    </row>
    <row r="48" spans="1:5" x14ac:dyDescent="0.35">
      <c r="A48" s="2">
        <v>19</v>
      </c>
      <c r="B48" s="2">
        <v>2.8956409260018976</v>
      </c>
      <c r="C48" s="2">
        <v>0.6043590739981024</v>
      </c>
    </row>
    <row r="49" spans="1:3" x14ac:dyDescent="0.35">
      <c r="A49" s="2">
        <v>20</v>
      </c>
      <c r="B49" s="2">
        <v>3.1528928547279804</v>
      </c>
      <c r="C49" s="2">
        <v>0.19710714527201967</v>
      </c>
    </row>
    <row r="50" spans="1:3" x14ac:dyDescent="0.35">
      <c r="A50" s="2">
        <v>21</v>
      </c>
      <c r="B50" s="2">
        <v>2.7205890783826536</v>
      </c>
      <c r="C50" s="2">
        <v>1.3594109216173464</v>
      </c>
    </row>
    <row r="51" spans="1:3" x14ac:dyDescent="0.35">
      <c r="A51" s="2">
        <v>22</v>
      </c>
      <c r="B51" s="2">
        <v>2.980626132248664</v>
      </c>
      <c r="C51" s="2">
        <v>-0.23062613224866402</v>
      </c>
    </row>
    <row r="52" spans="1:3" x14ac:dyDescent="0.35">
      <c r="A52" s="2">
        <v>23</v>
      </c>
      <c r="B52" s="2">
        <v>2.5545550281430223</v>
      </c>
      <c r="C52" s="2">
        <v>-0.32455502814302228</v>
      </c>
    </row>
    <row r="53" spans="1:3" x14ac:dyDescent="0.35">
      <c r="A53" s="2">
        <v>24</v>
      </c>
      <c r="B53" s="2">
        <v>5.0971834695366915</v>
      </c>
      <c r="C53" s="2">
        <v>2.4828165304633085</v>
      </c>
    </row>
    <row r="54" spans="1:3" x14ac:dyDescent="0.35">
      <c r="A54" s="2">
        <v>25</v>
      </c>
      <c r="B54" s="2">
        <v>2.8996897637367951</v>
      </c>
      <c r="C54" s="2">
        <v>0.28031023626320506</v>
      </c>
    </row>
    <row r="55" spans="1:3" x14ac:dyDescent="0.35">
      <c r="A55" s="2">
        <v>26</v>
      </c>
      <c r="B55" s="2">
        <v>3.0601488324298507</v>
      </c>
      <c r="C55" s="2">
        <v>-0.72014883242985084</v>
      </c>
    </row>
    <row r="56" spans="1:3" x14ac:dyDescent="0.35">
      <c r="A56" s="2">
        <v>27</v>
      </c>
      <c r="B56" s="2">
        <v>2.291690068718788</v>
      </c>
      <c r="C56" s="2">
        <v>-0.291690068718788</v>
      </c>
    </row>
    <row r="57" spans="1:3" x14ac:dyDescent="0.35">
      <c r="A57" s="2">
        <v>28</v>
      </c>
      <c r="B57" s="2">
        <v>2.2275908760657273</v>
      </c>
      <c r="C57" s="2">
        <v>-0.22759087606572725</v>
      </c>
    </row>
    <row r="58" spans="1:3" x14ac:dyDescent="0.35">
      <c r="A58" s="2">
        <v>29</v>
      </c>
      <c r="B58" s="2">
        <v>3.0769051787187873</v>
      </c>
      <c r="C58" s="2">
        <v>1.2230948212812125</v>
      </c>
    </row>
    <row r="59" spans="1:3" x14ac:dyDescent="0.35">
      <c r="A59" s="2">
        <v>30</v>
      </c>
      <c r="B59" s="2">
        <v>2.9202974803399009</v>
      </c>
      <c r="C59" s="2">
        <v>7.9702519660099114E-2</v>
      </c>
    </row>
    <row r="60" spans="1:3" x14ac:dyDescent="0.35">
      <c r="A60" s="2">
        <v>31</v>
      </c>
      <c r="B60" s="2">
        <v>1.9316034276383567</v>
      </c>
      <c r="C60" s="2">
        <v>-0.48160342763835673</v>
      </c>
    </row>
    <row r="61" spans="1:3" x14ac:dyDescent="0.35">
      <c r="A61" s="2">
        <v>32</v>
      </c>
      <c r="B61" s="2">
        <v>3.1110511324778702</v>
      </c>
      <c r="C61" s="2">
        <v>-0.61105113247787024</v>
      </c>
    </row>
    <row r="62" spans="1:3" x14ac:dyDescent="0.35">
      <c r="A62" s="2">
        <v>33</v>
      </c>
      <c r="B62" s="2">
        <v>2.4876279299317376</v>
      </c>
      <c r="C62" s="2">
        <v>0.51237207006826235</v>
      </c>
    </row>
    <row r="63" spans="1:3" x14ac:dyDescent="0.35">
      <c r="A63" s="2">
        <v>34</v>
      </c>
      <c r="B63" s="2">
        <v>3.3682602807856581</v>
      </c>
      <c r="C63" s="2">
        <v>-0.91826028078565791</v>
      </c>
    </row>
    <row r="64" spans="1:3" x14ac:dyDescent="0.35">
      <c r="A64" s="2">
        <v>35</v>
      </c>
      <c r="B64" s="2">
        <v>2.7073921857776115</v>
      </c>
      <c r="C64" s="2">
        <v>0.56260781422238848</v>
      </c>
    </row>
    <row r="65" spans="1:3" x14ac:dyDescent="0.35">
      <c r="A65" s="2">
        <v>36</v>
      </c>
      <c r="B65" s="2">
        <v>3.474331453179361</v>
      </c>
      <c r="C65" s="2">
        <v>0.1256685468206391</v>
      </c>
    </row>
    <row r="66" spans="1:3" x14ac:dyDescent="0.35">
      <c r="A66" s="2">
        <v>37</v>
      </c>
      <c r="B66" s="2">
        <v>2.7437891839716784</v>
      </c>
      <c r="C66" s="2">
        <v>-0.74378918397167837</v>
      </c>
    </row>
    <row r="67" spans="1:3" x14ac:dyDescent="0.35">
      <c r="A67" s="2">
        <v>38</v>
      </c>
      <c r="B67" s="2">
        <v>2.8388650802746644</v>
      </c>
      <c r="C67" s="2">
        <v>0.2311349197253354</v>
      </c>
    </row>
    <row r="68" spans="1:3" x14ac:dyDescent="0.35">
      <c r="A68" s="2">
        <v>39</v>
      </c>
      <c r="B68" s="2">
        <v>2.968136358257393</v>
      </c>
      <c r="C68" s="2">
        <v>-0.65813635825739292</v>
      </c>
    </row>
    <row r="69" spans="1:3" x14ac:dyDescent="0.35">
      <c r="A69" s="2">
        <v>40</v>
      </c>
      <c r="B69" s="2">
        <v>4.1539714223390236</v>
      </c>
      <c r="C69" s="2">
        <v>0.84602857766097639</v>
      </c>
    </row>
    <row r="70" spans="1:3" x14ac:dyDescent="0.35">
      <c r="A70" s="2">
        <v>41</v>
      </c>
      <c r="B70" s="2">
        <v>2.7183380339476688</v>
      </c>
      <c r="C70" s="2">
        <v>-0.47833803394766861</v>
      </c>
    </row>
    <row r="71" spans="1:3" x14ac:dyDescent="0.35">
      <c r="A71" s="2">
        <v>42</v>
      </c>
      <c r="B71" s="2">
        <v>2.7302331648061653</v>
      </c>
      <c r="C71" s="2">
        <v>-0.19023316480616526</v>
      </c>
    </row>
    <row r="72" spans="1:3" x14ac:dyDescent="0.35">
      <c r="A72" s="2">
        <v>43</v>
      </c>
      <c r="B72" s="2">
        <v>2.3984255793079665</v>
      </c>
      <c r="C72" s="2">
        <v>0.66157442069203354</v>
      </c>
    </row>
    <row r="73" spans="1:3" x14ac:dyDescent="0.35">
      <c r="A73" s="2">
        <v>44</v>
      </c>
      <c r="B73" s="2">
        <v>1.9968629900402599</v>
      </c>
      <c r="C73" s="2">
        <v>-0.67686299004025985</v>
      </c>
    </row>
    <row r="74" spans="1:3" x14ac:dyDescent="0.35">
      <c r="A74" s="2">
        <v>45</v>
      </c>
      <c r="B74" s="2">
        <v>4.2999318366804919</v>
      </c>
      <c r="C74" s="2">
        <v>1.3000681633195077</v>
      </c>
    </row>
    <row r="75" spans="1:3" x14ac:dyDescent="0.35">
      <c r="A75" s="2">
        <v>46</v>
      </c>
      <c r="B75" s="2">
        <v>2.8084718852503432</v>
      </c>
      <c r="C75" s="2">
        <v>0.19152811474965681</v>
      </c>
    </row>
    <row r="76" spans="1:3" x14ac:dyDescent="0.35">
      <c r="A76" s="2">
        <v>47</v>
      </c>
      <c r="B76" s="2">
        <v>3.1798701485636682</v>
      </c>
      <c r="C76" s="2">
        <v>1.8201298514363318</v>
      </c>
    </row>
    <row r="77" spans="1:3" x14ac:dyDescent="0.35">
      <c r="A77" s="2">
        <v>48</v>
      </c>
      <c r="B77" s="2">
        <v>4.4884588738953779</v>
      </c>
      <c r="C77" s="2">
        <v>1.5115411261046221</v>
      </c>
    </row>
    <row r="78" spans="1:3" x14ac:dyDescent="0.35">
      <c r="A78" s="2">
        <v>49</v>
      </c>
      <c r="B78" s="2">
        <v>3.9505799567097153</v>
      </c>
      <c r="C78" s="2">
        <v>-1.9005799567097155</v>
      </c>
    </row>
    <row r="79" spans="1:3" x14ac:dyDescent="0.35">
      <c r="A79" s="2">
        <v>50</v>
      </c>
      <c r="B79" s="2">
        <v>2.784906005598482</v>
      </c>
      <c r="C79" s="2">
        <v>0.215093994401518</v>
      </c>
    </row>
    <row r="80" spans="1:3" x14ac:dyDescent="0.35">
      <c r="A80" s="2">
        <v>51</v>
      </c>
      <c r="B80" s="2">
        <v>2.2664566532575465</v>
      </c>
      <c r="C80" s="2">
        <v>0.23354334674245347</v>
      </c>
    </row>
    <row r="81" spans="1:3" x14ac:dyDescent="0.35">
      <c r="A81" s="2">
        <v>52</v>
      </c>
      <c r="B81" s="2">
        <v>2.0909962511571711</v>
      </c>
      <c r="C81" s="2">
        <v>0.50900374884282895</v>
      </c>
    </row>
    <row r="82" spans="1:3" x14ac:dyDescent="0.35">
      <c r="A82" s="2">
        <v>53</v>
      </c>
      <c r="B82" s="2">
        <v>4.7522664685056863</v>
      </c>
      <c r="C82" s="2">
        <v>0.44773353149431383</v>
      </c>
    </row>
    <row r="83" spans="1:3" x14ac:dyDescent="0.35">
      <c r="A83" s="2">
        <v>54</v>
      </c>
      <c r="B83" s="2">
        <v>2.0213715048781951</v>
      </c>
      <c r="C83" s="2">
        <v>-0.461371504878195</v>
      </c>
    </row>
    <row r="84" spans="1:3" x14ac:dyDescent="0.35">
      <c r="A84" s="2">
        <v>55</v>
      </c>
      <c r="B84" s="2">
        <v>3.8436964066204684</v>
      </c>
      <c r="C84" s="2">
        <v>0.49630359337953145</v>
      </c>
    </row>
    <row r="85" spans="1:3" x14ac:dyDescent="0.35">
      <c r="A85" s="2">
        <v>56</v>
      </c>
      <c r="B85" s="2">
        <v>2.9215881075792742</v>
      </c>
      <c r="C85" s="2">
        <v>0.58841189242072556</v>
      </c>
    </row>
    <row r="86" spans="1:3" x14ac:dyDescent="0.35">
      <c r="A86" s="2">
        <v>57</v>
      </c>
      <c r="B86" s="2">
        <v>4.8914275775102638</v>
      </c>
      <c r="C86" s="2">
        <v>-1.8914275775102638</v>
      </c>
    </row>
    <row r="87" spans="1:3" x14ac:dyDescent="0.35">
      <c r="A87" s="2">
        <v>58</v>
      </c>
      <c r="B87" s="2">
        <v>3.5575188661262143</v>
      </c>
      <c r="C87" s="2">
        <v>-2.0575188661262143</v>
      </c>
    </row>
    <row r="88" spans="1:3" x14ac:dyDescent="0.35">
      <c r="A88" s="2">
        <v>59</v>
      </c>
      <c r="B88" s="2">
        <v>2.0180644432950015</v>
      </c>
      <c r="C88" s="2">
        <v>-0.25806444329500144</v>
      </c>
    </row>
    <row r="89" spans="1:3" x14ac:dyDescent="0.35">
      <c r="A89" s="2">
        <v>60</v>
      </c>
      <c r="B89" s="2">
        <v>5.9314156092125607</v>
      </c>
      <c r="C89" s="2">
        <v>0.7985843907874397</v>
      </c>
    </row>
    <row r="90" spans="1:3" x14ac:dyDescent="0.35">
      <c r="A90" s="2">
        <v>61</v>
      </c>
      <c r="B90" s="2">
        <v>2.8711492866923596</v>
      </c>
      <c r="C90" s="2">
        <v>0.33885071330764038</v>
      </c>
    </row>
    <row r="91" spans="1:3" x14ac:dyDescent="0.35">
      <c r="A91" s="2">
        <v>62</v>
      </c>
      <c r="B91" s="2">
        <v>2.2603216861161299</v>
      </c>
      <c r="C91" s="2">
        <v>-0.26032168611612994</v>
      </c>
    </row>
    <row r="92" spans="1:3" x14ac:dyDescent="0.35">
      <c r="A92" s="2">
        <v>63</v>
      </c>
      <c r="B92" s="2">
        <v>1.9973264692013641</v>
      </c>
      <c r="C92" s="2">
        <v>-1.7326469201364159E-2</v>
      </c>
    </row>
    <row r="93" spans="1:3" x14ac:dyDescent="0.35">
      <c r="A93" s="2">
        <v>64</v>
      </c>
      <c r="B93" s="2">
        <v>3.0325509905714902</v>
      </c>
      <c r="C93" s="2">
        <v>0.72744900942850954</v>
      </c>
    </row>
    <row r="94" spans="1:3" x14ac:dyDescent="0.35">
      <c r="A94" s="2">
        <v>65</v>
      </c>
      <c r="B94" s="2">
        <v>2.8644464877892055</v>
      </c>
      <c r="C94" s="2">
        <v>-0.2244464877892054</v>
      </c>
    </row>
    <row r="95" spans="1:3" x14ac:dyDescent="0.35">
      <c r="A95" s="2">
        <v>66</v>
      </c>
      <c r="B95" s="2">
        <v>3.0991626491217379</v>
      </c>
      <c r="C95" s="2">
        <v>5.0837350878262022E-2</v>
      </c>
    </row>
    <row r="96" spans="1:3" x14ac:dyDescent="0.35">
      <c r="A96" s="2">
        <v>67</v>
      </c>
      <c r="B96" s="2">
        <v>2.6186542207960835</v>
      </c>
      <c r="C96" s="2">
        <v>-0.14865422079608326</v>
      </c>
    </row>
    <row r="97" spans="1:3" x14ac:dyDescent="0.35">
      <c r="A97" s="2">
        <v>68</v>
      </c>
      <c r="B97" s="2">
        <v>1.1095996404915565</v>
      </c>
      <c r="C97" s="2">
        <v>-0.10959964049155646</v>
      </c>
    </row>
    <row r="98" spans="1:3" x14ac:dyDescent="0.35">
      <c r="A98" s="2">
        <v>69</v>
      </c>
      <c r="B98" s="2">
        <v>2.9383378063658467</v>
      </c>
      <c r="C98" s="2">
        <v>-0.92833780636584695</v>
      </c>
    </row>
    <row r="99" spans="1:3" x14ac:dyDescent="0.35">
      <c r="A99" s="2">
        <v>70</v>
      </c>
      <c r="B99" s="2">
        <v>2.3734379084450614</v>
      </c>
      <c r="C99" s="2">
        <v>-0.28343790844506156</v>
      </c>
    </row>
    <row r="100" spans="1:3" x14ac:dyDescent="0.35">
      <c r="A100" s="2">
        <v>71</v>
      </c>
      <c r="B100" s="2">
        <v>2.1644343185987402</v>
      </c>
      <c r="C100" s="2">
        <v>-0.19443431859874027</v>
      </c>
    </row>
    <row r="101" spans="1:3" x14ac:dyDescent="0.35">
      <c r="A101" s="2">
        <v>72</v>
      </c>
      <c r="B101" s="2">
        <v>2.8520619728797061</v>
      </c>
      <c r="C101" s="2">
        <v>0.14793802712029391</v>
      </c>
    </row>
    <row r="102" spans="1:3" x14ac:dyDescent="0.35">
      <c r="A102" s="2">
        <v>73</v>
      </c>
      <c r="B102" s="2">
        <v>3.5270931187096304</v>
      </c>
      <c r="C102" s="2">
        <v>-0.38709311870963026</v>
      </c>
    </row>
    <row r="103" spans="1:3" x14ac:dyDescent="0.35">
      <c r="A103" s="2">
        <v>74</v>
      </c>
      <c r="B103" s="2">
        <v>3.3781567593098707</v>
      </c>
      <c r="C103" s="2">
        <v>1.6218432406901293</v>
      </c>
    </row>
    <row r="104" spans="1:3" x14ac:dyDescent="0.35">
      <c r="A104" s="2">
        <v>75</v>
      </c>
      <c r="B104" s="2">
        <v>2.4565209687912817</v>
      </c>
      <c r="C104" s="2">
        <v>-0.2565209687912815</v>
      </c>
    </row>
    <row r="105" spans="1:3" x14ac:dyDescent="0.35">
      <c r="A105" s="2">
        <v>76</v>
      </c>
      <c r="B105" s="2">
        <v>2.0220964055015016</v>
      </c>
      <c r="C105" s="2">
        <v>-0.7720964055015016</v>
      </c>
    </row>
    <row r="106" spans="1:3" x14ac:dyDescent="0.35">
      <c r="A106" s="2">
        <v>77</v>
      </c>
      <c r="B106" s="2">
        <v>2.6477447475927205</v>
      </c>
      <c r="C106" s="2">
        <v>0.43225525240727958</v>
      </c>
    </row>
    <row r="107" spans="1:3" x14ac:dyDescent="0.35">
      <c r="A107" s="2">
        <v>78</v>
      </c>
      <c r="B107" s="2">
        <v>3.9552789239088582</v>
      </c>
      <c r="C107" s="2">
        <v>4.4721076091141843E-2</v>
      </c>
    </row>
    <row r="108" spans="1:3" x14ac:dyDescent="0.35">
      <c r="A108" s="2">
        <v>79</v>
      </c>
      <c r="B108" s="2">
        <v>3.1868201601977959</v>
      </c>
      <c r="C108" s="2">
        <v>-0.1868201601977959</v>
      </c>
    </row>
    <row r="109" spans="1:3" x14ac:dyDescent="0.35">
      <c r="A109" s="2">
        <v>80</v>
      </c>
      <c r="B109" s="2">
        <v>2.671198713415083</v>
      </c>
      <c r="C109" s="2">
        <v>3.8801286584916994E-2</v>
      </c>
    </row>
    <row r="110" spans="1:3" x14ac:dyDescent="0.35">
      <c r="A110" s="2">
        <v>81</v>
      </c>
      <c r="B110" s="2">
        <v>2.8010209476311521</v>
      </c>
      <c r="C110" s="2">
        <v>0.19897905236884794</v>
      </c>
    </row>
    <row r="111" spans="1:3" x14ac:dyDescent="0.35">
      <c r="A111" s="2">
        <v>82</v>
      </c>
      <c r="B111" s="2">
        <v>2.611812696692394</v>
      </c>
      <c r="C111" s="2">
        <v>0.78818730330760589</v>
      </c>
    </row>
    <row r="112" spans="1:3" x14ac:dyDescent="0.35">
      <c r="A112" s="2">
        <v>83</v>
      </c>
      <c r="B112" s="2">
        <v>1.8522842532887087</v>
      </c>
      <c r="C112" s="2">
        <v>-2.2284253288708644E-2</v>
      </c>
    </row>
    <row r="113" spans="1:3" x14ac:dyDescent="0.35">
      <c r="A113" s="2">
        <v>84</v>
      </c>
      <c r="B113" s="2">
        <v>4.049069933993696</v>
      </c>
      <c r="C113" s="2">
        <v>0.95093006600630403</v>
      </c>
    </row>
    <row r="114" spans="1:3" x14ac:dyDescent="0.35">
      <c r="A114" s="2">
        <v>85</v>
      </c>
      <c r="B114" s="2">
        <v>2.5477135040393328</v>
      </c>
      <c r="C114" s="2">
        <v>-0.51771350403933303</v>
      </c>
    </row>
    <row r="115" spans="1:3" x14ac:dyDescent="0.35">
      <c r="A115" s="2">
        <v>86</v>
      </c>
      <c r="B115" s="2">
        <v>4.7111420856500184</v>
      </c>
      <c r="C115" s="2">
        <v>0.45885791434998158</v>
      </c>
    </row>
    <row r="116" spans="1:3" x14ac:dyDescent="0.35">
      <c r="A116" s="2">
        <v>87</v>
      </c>
      <c r="B116" s="2">
        <v>2.2696361241473761</v>
      </c>
      <c r="C116" s="2">
        <v>-0.26963612414737614</v>
      </c>
    </row>
    <row r="117" spans="1:3" x14ac:dyDescent="0.35">
      <c r="A117" s="2">
        <v>88</v>
      </c>
      <c r="B117" s="2">
        <v>2.7645195968364518</v>
      </c>
      <c r="C117" s="2">
        <v>1.2354804031635482</v>
      </c>
    </row>
    <row r="118" spans="1:3" x14ac:dyDescent="0.35">
      <c r="A118" s="2">
        <v>89</v>
      </c>
      <c r="B118" s="2">
        <v>3.3706340214823096</v>
      </c>
      <c r="C118" s="2">
        <v>2.47936597851769</v>
      </c>
    </row>
    <row r="119" spans="1:3" x14ac:dyDescent="0.35">
      <c r="A119" s="2">
        <v>90</v>
      </c>
      <c r="B119" s="2">
        <v>3.0359985304258874</v>
      </c>
      <c r="C119" s="2">
        <v>-3.5998530425887409E-2</v>
      </c>
    </row>
    <row r="120" spans="1:3" x14ac:dyDescent="0.35">
      <c r="A120" s="2">
        <v>91</v>
      </c>
      <c r="B120" s="2">
        <v>3.6363513232220281</v>
      </c>
      <c r="C120" s="2">
        <v>-0.63635132322202814</v>
      </c>
    </row>
    <row r="121" spans="1:3" x14ac:dyDescent="0.35">
      <c r="A121" s="2">
        <v>92</v>
      </c>
      <c r="B121" s="2">
        <v>3.0983680534357312</v>
      </c>
      <c r="C121" s="2">
        <v>0.40163194656426882</v>
      </c>
    </row>
    <row r="122" spans="1:3" x14ac:dyDescent="0.35">
      <c r="A122" s="2">
        <v>93</v>
      </c>
      <c r="B122" s="2">
        <v>1.4841849359235759</v>
      </c>
      <c r="C122" s="2">
        <v>-0.48418493592357592</v>
      </c>
    </row>
    <row r="123" spans="1:3" x14ac:dyDescent="0.35">
      <c r="A123" s="2">
        <v>94</v>
      </c>
      <c r="B123" s="2">
        <v>2.4805503276042469</v>
      </c>
      <c r="C123" s="2">
        <v>1.8194496723957529</v>
      </c>
    </row>
    <row r="124" spans="1:3" x14ac:dyDescent="0.35">
      <c r="A124" s="2">
        <v>95</v>
      </c>
      <c r="B124" s="2">
        <v>3.1595090830400379</v>
      </c>
      <c r="C124" s="2">
        <v>9.0490916959962142E-2</v>
      </c>
    </row>
    <row r="125" spans="1:3" x14ac:dyDescent="0.35">
      <c r="A125" s="2">
        <v>96</v>
      </c>
      <c r="B125" s="2">
        <v>5.0420314727194047</v>
      </c>
      <c r="C125" s="2">
        <v>-0.31203147271940423</v>
      </c>
    </row>
    <row r="126" spans="1:3" x14ac:dyDescent="0.35">
      <c r="A126" s="2">
        <v>97</v>
      </c>
      <c r="B126" s="2">
        <v>3.4770459767754502</v>
      </c>
      <c r="C126" s="2">
        <v>0.52295402322454976</v>
      </c>
    </row>
    <row r="127" spans="1:3" x14ac:dyDescent="0.35">
      <c r="A127" s="2">
        <v>98</v>
      </c>
      <c r="B127" s="2">
        <v>2.0395273180119462</v>
      </c>
      <c r="C127" s="2">
        <v>-0.5395273180119462</v>
      </c>
    </row>
    <row r="128" spans="1:3" x14ac:dyDescent="0.35">
      <c r="A128" s="2">
        <v>99</v>
      </c>
      <c r="B128" s="2">
        <v>2.8860137151067833</v>
      </c>
      <c r="C128" s="2">
        <v>0.11398628489321672</v>
      </c>
    </row>
    <row r="129" spans="1:3" x14ac:dyDescent="0.35">
      <c r="A129" s="2">
        <v>100</v>
      </c>
      <c r="B129" s="2">
        <v>2.1529049618030793</v>
      </c>
      <c r="C129" s="2">
        <v>-0.65290496180307933</v>
      </c>
    </row>
    <row r="130" spans="1:3" x14ac:dyDescent="0.35">
      <c r="A130" s="2">
        <v>101</v>
      </c>
      <c r="B130" s="2">
        <v>2.0120606401252559</v>
      </c>
      <c r="C130" s="2">
        <v>0.48793935987474413</v>
      </c>
    </row>
    <row r="131" spans="1:3" x14ac:dyDescent="0.35">
      <c r="A131" s="2">
        <v>102</v>
      </c>
      <c r="B131" s="2">
        <v>2.3919426201132508</v>
      </c>
      <c r="C131" s="2">
        <v>0.60805737988674924</v>
      </c>
    </row>
    <row r="132" spans="1:3" x14ac:dyDescent="0.35">
      <c r="A132" s="2">
        <v>103</v>
      </c>
      <c r="B132" s="2">
        <v>5.3460132537704421</v>
      </c>
      <c r="C132" s="2">
        <v>-2.8460132537704421</v>
      </c>
    </row>
    <row r="133" spans="1:3" x14ac:dyDescent="0.35">
      <c r="A133" s="2">
        <v>104</v>
      </c>
      <c r="B133" s="2">
        <v>3.1085630960925847</v>
      </c>
      <c r="C133" s="2">
        <v>0.37143690390741524</v>
      </c>
    </row>
    <row r="134" spans="1:3" x14ac:dyDescent="0.35">
      <c r="A134" s="2">
        <v>105</v>
      </c>
      <c r="B134" s="2">
        <v>3.0400121489713534</v>
      </c>
      <c r="C134" s="2">
        <v>1.0399878510286467</v>
      </c>
    </row>
    <row r="135" spans="1:3" x14ac:dyDescent="0.35">
      <c r="A135" s="2">
        <v>106</v>
      </c>
      <c r="B135" s="2">
        <v>2.4064301399576662</v>
      </c>
      <c r="C135" s="2">
        <v>-0.76643013995766629</v>
      </c>
    </row>
    <row r="136" spans="1:3" x14ac:dyDescent="0.35">
      <c r="A136" s="2">
        <v>107</v>
      </c>
      <c r="B136" s="2">
        <v>2.8900019904138481</v>
      </c>
      <c r="C136" s="2">
        <v>1.1699980095861515</v>
      </c>
    </row>
    <row r="137" spans="1:3" x14ac:dyDescent="0.35">
      <c r="A137" s="2">
        <v>108</v>
      </c>
      <c r="B137" s="2">
        <v>3.3349257982409783</v>
      </c>
      <c r="C137" s="2">
        <v>0.95507420175902169</v>
      </c>
    </row>
    <row r="138" spans="1:3" x14ac:dyDescent="0.35">
      <c r="A138" s="2">
        <v>109</v>
      </c>
      <c r="B138" s="2">
        <v>2.750753404337035</v>
      </c>
      <c r="C138" s="2">
        <v>1.0092465956629648</v>
      </c>
    </row>
    <row r="139" spans="1:3" x14ac:dyDescent="0.35">
      <c r="A139" s="2">
        <v>110</v>
      </c>
      <c r="B139" s="2">
        <v>2.3440859601862227</v>
      </c>
      <c r="C139" s="2">
        <v>1.6559140398137773</v>
      </c>
    </row>
    <row r="140" spans="1:3" x14ac:dyDescent="0.35">
      <c r="A140" s="2">
        <v>111</v>
      </c>
      <c r="B140" s="2">
        <v>2.3510760854414774</v>
      </c>
      <c r="C140" s="2">
        <v>0.64892391455852261</v>
      </c>
    </row>
    <row r="141" spans="1:3" x14ac:dyDescent="0.35">
      <c r="A141" s="2">
        <v>112</v>
      </c>
      <c r="B141" s="2">
        <v>1.576465479060601</v>
      </c>
      <c r="C141" s="2">
        <v>-0.57646547906060097</v>
      </c>
    </row>
    <row r="142" spans="1:3" x14ac:dyDescent="0.35">
      <c r="A142" s="2">
        <v>113</v>
      </c>
      <c r="B142" s="2">
        <v>4.8479686538525719</v>
      </c>
      <c r="C142" s="2">
        <v>-0.84796865385257192</v>
      </c>
    </row>
    <row r="143" spans="1:3" x14ac:dyDescent="0.35">
      <c r="A143" s="2">
        <v>114</v>
      </c>
      <c r="B143" s="2">
        <v>3.34200340056847</v>
      </c>
      <c r="C143" s="2">
        <v>-0.79200340056847018</v>
      </c>
    </row>
    <row r="144" spans="1:3" x14ac:dyDescent="0.35">
      <c r="A144" s="2">
        <v>115</v>
      </c>
      <c r="B144" s="2">
        <v>3.7195040786309486</v>
      </c>
      <c r="C144" s="2">
        <v>0.28049592136905144</v>
      </c>
    </row>
    <row r="145" spans="1:3" x14ac:dyDescent="0.35">
      <c r="A145" s="2">
        <v>116</v>
      </c>
      <c r="B145" s="2">
        <v>2.7527261517814203</v>
      </c>
      <c r="C145" s="2">
        <v>0.74727384821857967</v>
      </c>
    </row>
    <row r="146" spans="1:3" x14ac:dyDescent="0.35">
      <c r="A146" s="2">
        <v>117</v>
      </c>
      <c r="B146" s="2">
        <v>4.2556279829349943</v>
      </c>
      <c r="C146" s="2">
        <v>0.81437201706500595</v>
      </c>
    </row>
    <row r="147" spans="1:3" x14ac:dyDescent="0.35">
      <c r="A147" s="2">
        <v>118</v>
      </c>
      <c r="B147" s="2">
        <v>2.0819214646280333</v>
      </c>
      <c r="C147" s="2">
        <v>-0.58192146462803329</v>
      </c>
    </row>
    <row r="148" spans="1:3" x14ac:dyDescent="0.35">
      <c r="A148" s="2">
        <v>119</v>
      </c>
      <c r="B148" s="2">
        <v>2.2497105277492819</v>
      </c>
      <c r="C148" s="2">
        <v>-0.44971052774928189</v>
      </c>
    </row>
    <row r="149" spans="1:3" x14ac:dyDescent="0.35">
      <c r="A149" s="2">
        <v>120</v>
      </c>
      <c r="B149" s="2">
        <v>3.6978092606200077</v>
      </c>
      <c r="C149" s="2">
        <v>-0.77780926062000777</v>
      </c>
    </row>
    <row r="150" spans="1:3" x14ac:dyDescent="0.35">
      <c r="A150" s="2">
        <v>121</v>
      </c>
      <c r="B150" s="2">
        <v>2.143323009213403</v>
      </c>
      <c r="C150" s="2">
        <v>0.16667699078659703</v>
      </c>
    </row>
    <row r="151" spans="1:3" x14ac:dyDescent="0.35">
      <c r="A151" s="2">
        <v>122</v>
      </c>
      <c r="B151" s="2">
        <v>2.3430314111706503</v>
      </c>
      <c r="C151" s="2">
        <v>-0.66303141117065034</v>
      </c>
    </row>
    <row r="152" spans="1:3" x14ac:dyDescent="0.35">
      <c r="A152" s="2">
        <v>123</v>
      </c>
      <c r="B152" s="2">
        <v>2.3855802520345311</v>
      </c>
      <c r="C152" s="2">
        <v>0.11441974796546894</v>
      </c>
    </row>
    <row r="153" spans="1:3" x14ac:dyDescent="0.35">
      <c r="A153" s="2">
        <v>124</v>
      </c>
      <c r="B153" s="2">
        <v>2.5448855984811098</v>
      </c>
      <c r="C153" s="2">
        <v>-0.54488559848110985</v>
      </c>
    </row>
    <row r="154" spans="1:3" x14ac:dyDescent="0.35">
      <c r="A154" s="2">
        <v>125</v>
      </c>
      <c r="B154" s="2">
        <v>2.2544237036796542</v>
      </c>
      <c r="C154" s="2">
        <v>0.26557629632034585</v>
      </c>
    </row>
    <row r="155" spans="1:3" x14ac:dyDescent="0.35">
      <c r="A155" s="2">
        <v>126</v>
      </c>
      <c r="B155" s="2">
        <v>4.5869253281485971</v>
      </c>
      <c r="C155" s="2">
        <v>-0.38692532814859693</v>
      </c>
    </row>
    <row r="156" spans="1:3" x14ac:dyDescent="0.35">
      <c r="A156" s="2">
        <v>127</v>
      </c>
      <c r="B156" s="2">
        <v>1.844507655227809</v>
      </c>
      <c r="C156" s="2">
        <v>-0.36450765522780904</v>
      </c>
    </row>
    <row r="157" spans="1:3" x14ac:dyDescent="0.35">
      <c r="A157" s="2">
        <v>128</v>
      </c>
      <c r="B157" s="2">
        <v>2.4467212816388377</v>
      </c>
      <c r="C157" s="2">
        <v>-0.44672128163883773</v>
      </c>
    </row>
    <row r="158" spans="1:3" x14ac:dyDescent="0.35">
      <c r="A158" s="2">
        <v>129</v>
      </c>
      <c r="B158" s="2">
        <v>2.1507338332114667</v>
      </c>
      <c r="C158" s="2">
        <v>-0.15073383321146672</v>
      </c>
    </row>
    <row r="159" spans="1:3" x14ac:dyDescent="0.35">
      <c r="A159" s="2">
        <v>130</v>
      </c>
      <c r="B159" s="2">
        <v>3.3674403418612506</v>
      </c>
      <c r="C159" s="2">
        <v>-1.1874403418612505</v>
      </c>
    </row>
    <row r="160" spans="1:3" x14ac:dyDescent="0.35">
      <c r="A160" s="2">
        <v>131</v>
      </c>
      <c r="B160" s="2">
        <v>2.8399304117224058</v>
      </c>
      <c r="C160" s="2">
        <v>-1.3399304117224058</v>
      </c>
    </row>
    <row r="161" spans="1:3" x14ac:dyDescent="0.35">
      <c r="A161" s="2">
        <v>132</v>
      </c>
      <c r="B161" s="2">
        <v>2.988736513631634</v>
      </c>
      <c r="C161" s="2">
        <v>-0.15873651363163388</v>
      </c>
    </row>
    <row r="162" spans="1:3" x14ac:dyDescent="0.35">
      <c r="A162" s="2">
        <v>133</v>
      </c>
      <c r="B162" s="2">
        <v>2.130938494303904</v>
      </c>
      <c r="C162" s="2">
        <v>-0.63093849430390403</v>
      </c>
    </row>
    <row r="163" spans="1:3" x14ac:dyDescent="0.35">
      <c r="A163" s="2">
        <v>134</v>
      </c>
      <c r="B163" s="2">
        <v>2.2336857295860169</v>
      </c>
      <c r="C163" s="2">
        <v>-0.23368572958601685</v>
      </c>
    </row>
    <row r="164" spans="1:3" x14ac:dyDescent="0.35">
      <c r="A164" s="2">
        <v>135</v>
      </c>
      <c r="B164" s="2">
        <v>2.7992668412306738</v>
      </c>
      <c r="C164" s="2">
        <v>0.45073315876932618</v>
      </c>
    </row>
    <row r="165" spans="1:3" x14ac:dyDescent="0.35">
      <c r="A165" s="2">
        <v>136</v>
      </c>
      <c r="B165" s="2">
        <v>1.8801975348081057</v>
      </c>
      <c r="C165" s="2">
        <v>-0.6301975348081057</v>
      </c>
    </row>
    <row r="166" spans="1:3" x14ac:dyDescent="0.35">
      <c r="A166" s="2">
        <v>137</v>
      </c>
      <c r="B166" s="2">
        <v>2.0517571386736519</v>
      </c>
      <c r="C166" s="2">
        <v>-5.1757138673651948E-2</v>
      </c>
    </row>
    <row r="167" spans="1:3" x14ac:dyDescent="0.35">
      <c r="A167" s="2">
        <v>138</v>
      </c>
      <c r="B167" s="2">
        <v>2.4118437797540837</v>
      </c>
      <c r="C167" s="2">
        <v>-0.41184377975408371</v>
      </c>
    </row>
    <row r="168" spans="1:3" x14ac:dyDescent="0.35">
      <c r="A168" s="2">
        <v>139</v>
      </c>
      <c r="B168" s="2">
        <v>2.4767544436215485</v>
      </c>
      <c r="C168" s="2">
        <v>-0.47675444362154851</v>
      </c>
    </row>
    <row r="169" spans="1:3" x14ac:dyDescent="0.35">
      <c r="A169" s="2">
        <v>140</v>
      </c>
      <c r="B169" s="2">
        <v>2.3185228963327154</v>
      </c>
      <c r="C169" s="2">
        <v>0.43147710366728464</v>
      </c>
    </row>
    <row r="170" spans="1:3" x14ac:dyDescent="0.35">
      <c r="A170" s="2">
        <v>141</v>
      </c>
      <c r="B170" s="2">
        <v>2.724798661530794</v>
      </c>
      <c r="C170" s="2">
        <v>0.77520133846920602</v>
      </c>
    </row>
    <row r="171" spans="1:3" x14ac:dyDescent="0.35">
      <c r="A171" s="2">
        <v>142</v>
      </c>
      <c r="B171" s="2">
        <v>4.9744786471157187</v>
      </c>
      <c r="C171" s="2">
        <v>1.7255213528842814</v>
      </c>
    </row>
    <row r="172" spans="1:3" x14ac:dyDescent="0.35">
      <c r="A172" s="2">
        <v>143</v>
      </c>
      <c r="B172" s="2">
        <v>5.4489899197739922</v>
      </c>
      <c r="C172" s="2">
        <v>-0.44898991977399216</v>
      </c>
    </row>
    <row r="173" spans="1:3" x14ac:dyDescent="0.35">
      <c r="A173" s="2">
        <v>144</v>
      </c>
      <c r="B173" s="2">
        <v>4.3277006519781294</v>
      </c>
      <c r="C173" s="2">
        <v>0.67229934802187064</v>
      </c>
    </row>
    <row r="174" spans="1:3" x14ac:dyDescent="0.35">
      <c r="A174" s="2">
        <v>145</v>
      </c>
      <c r="B174" s="2">
        <v>2.6267646021790534</v>
      </c>
      <c r="C174" s="2">
        <v>-0.32676460217905356</v>
      </c>
    </row>
    <row r="175" spans="1:3" x14ac:dyDescent="0.35">
      <c r="A175" s="2">
        <v>146</v>
      </c>
      <c r="B175" s="2">
        <v>1.8651153718309148</v>
      </c>
      <c r="C175" s="2">
        <v>-0.3651153718309148</v>
      </c>
    </row>
    <row r="176" spans="1:3" x14ac:dyDescent="0.35">
      <c r="A176" s="2">
        <v>147</v>
      </c>
      <c r="B176" s="2">
        <v>3.0100513488485103</v>
      </c>
      <c r="C176" s="2">
        <v>-1.6500513488485102</v>
      </c>
    </row>
    <row r="177" spans="1:3" x14ac:dyDescent="0.35">
      <c r="A177" s="2">
        <v>148</v>
      </c>
      <c r="B177" s="2">
        <v>2.1969229573291136</v>
      </c>
      <c r="C177" s="2">
        <v>-0.56692295732911369</v>
      </c>
    </row>
    <row r="178" spans="1:3" x14ac:dyDescent="0.35">
      <c r="A178" s="2">
        <v>149</v>
      </c>
      <c r="B178" s="2">
        <v>1.9632796886731871</v>
      </c>
      <c r="C178" s="2">
        <v>-0.23327968867318716</v>
      </c>
    </row>
    <row r="179" spans="1:3" x14ac:dyDescent="0.35">
      <c r="A179" s="2">
        <v>150</v>
      </c>
      <c r="B179" s="2">
        <v>1.7493015014342919</v>
      </c>
      <c r="C179" s="2">
        <v>0.25069849856570814</v>
      </c>
    </row>
    <row r="180" spans="1:3" x14ac:dyDescent="0.35">
      <c r="A180" s="2">
        <v>151</v>
      </c>
      <c r="B180" s="2">
        <v>2.410679836726934</v>
      </c>
      <c r="C180" s="2">
        <v>8.9320163273066022E-2</v>
      </c>
    </row>
    <row r="181" spans="1:3" x14ac:dyDescent="0.35">
      <c r="A181" s="2">
        <v>152</v>
      </c>
      <c r="B181" s="2">
        <v>2.3220721292359379</v>
      </c>
      <c r="C181" s="2">
        <v>-0.32207212923593787</v>
      </c>
    </row>
    <row r="182" spans="1:3" x14ac:dyDescent="0.35">
      <c r="A182" s="2">
        <v>153</v>
      </c>
      <c r="B182" s="2">
        <v>2.8863448316316851</v>
      </c>
      <c r="C182" s="2">
        <v>-0.14634483163168488</v>
      </c>
    </row>
    <row r="183" spans="1:3" x14ac:dyDescent="0.35">
      <c r="A183" s="2">
        <v>154</v>
      </c>
      <c r="B183" s="2">
        <v>3.7484902528269517</v>
      </c>
      <c r="C183" s="2">
        <v>-1.7484902528269517</v>
      </c>
    </row>
    <row r="184" spans="1:3" x14ac:dyDescent="0.35">
      <c r="A184" s="2">
        <v>155</v>
      </c>
      <c r="B184" s="2">
        <v>3.2979106338833746</v>
      </c>
      <c r="C184" s="2">
        <v>-1.2979106338833746</v>
      </c>
    </row>
    <row r="185" spans="1:3" x14ac:dyDescent="0.35">
      <c r="A185" s="2">
        <v>156</v>
      </c>
      <c r="B185" s="2">
        <v>4.4596837867597783</v>
      </c>
      <c r="C185" s="2">
        <v>0.6803162132402214</v>
      </c>
    </row>
    <row r="186" spans="1:3" x14ac:dyDescent="0.35">
      <c r="A186" s="2">
        <v>157</v>
      </c>
      <c r="B186" s="2">
        <v>6.3249233034287684</v>
      </c>
      <c r="C186" s="2">
        <v>-1.3249233034287684</v>
      </c>
    </row>
    <row r="187" spans="1:3" x14ac:dyDescent="0.35">
      <c r="A187" s="2">
        <v>158</v>
      </c>
      <c r="B187" s="2">
        <v>3.8275413509666723</v>
      </c>
      <c r="C187" s="2">
        <v>-7.7541350966672251E-2</v>
      </c>
    </row>
    <row r="188" spans="1:3" x14ac:dyDescent="0.35">
      <c r="A188" s="2">
        <v>159</v>
      </c>
      <c r="B188" s="2">
        <v>2.3832131588402441</v>
      </c>
      <c r="C188" s="2">
        <v>0.22678684115975578</v>
      </c>
    </row>
    <row r="189" spans="1:3" x14ac:dyDescent="0.35">
      <c r="A189" s="2">
        <v>160</v>
      </c>
      <c r="B189" s="2">
        <v>2.9887262928509619</v>
      </c>
      <c r="C189" s="2">
        <v>-0.98872629285096192</v>
      </c>
    </row>
    <row r="190" spans="1:3" x14ac:dyDescent="0.35">
      <c r="A190" s="2">
        <v>161</v>
      </c>
      <c r="B190" s="2">
        <v>3.4609865210742505</v>
      </c>
      <c r="C190" s="2">
        <v>3.9013478925749467E-2</v>
      </c>
    </row>
    <row r="191" spans="1:3" x14ac:dyDescent="0.35">
      <c r="A191" s="2">
        <v>162</v>
      </c>
      <c r="B191" s="2">
        <v>2.2777682754904394</v>
      </c>
      <c r="C191" s="2">
        <v>0.22223172450956064</v>
      </c>
    </row>
    <row r="192" spans="1:3" x14ac:dyDescent="0.35">
      <c r="A192" s="2">
        <v>163</v>
      </c>
      <c r="B192" s="2">
        <v>2.8240006518602412</v>
      </c>
      <c r="C192" s="2">
        <v>-0.82400065186024118</v>
      </c>
    </row>
    <row r="193" spans="1:3" x14ac:dyDescent="0.35">
      <c r="A193" s="2">
        <v>164</v>
      </c>
      <c r="B193" s="2">
        <v>2.3861713218889991</v>
      </c>
      <c r="C193" s="2">
        <v>-0.38617132188899905</v>
      </c>
    </row>
    <row r="194" spans="1:3" x14ac:dyDescent="0.35">
      <c r="A194" s="2">
        <v>165</v>
      </c>
      <c r="B194" s="2">
        <v>2.6987345247129757</v>
      </c>
      <c r="C194" s="2">
        <v>0.3012654752870243</v>
      </c>
    </row>
    <row r="195" spans="1:3" x14ac:dyDescent="0.35">
      <c r="A195" s="2">
        <v>166</v>
      </c>
      <c r="B195" s="2">
        <v>3.5706979767217204</v>
      </c>
      <c r="C195" s="2">
        <v>-9.0697976721720419E-2</v>
      </c>
    </row>
    <row r="196" spans="1:3" x14ac:dyDescent="0.35">
      <c r="A196" s="2">
        <v>167</v>
      </c>
      <c r="B196" s="2">
        <v>3.0413027762107272</v>
      </c>
      <c r="C196" s="2">
        <v>-0.80130277621072699</v>
      </c>
    </row>
    <row r="197" spans="1:3" x14ac:dyDescent="0.35">
      <c r="A197" s="2">
        <v>168</v>
      </c>
      <c r="B197" s="2">
        <v>4.423417046056243</v>
      </c>
      <c r="C197" s="2">
        <v>7.6582953943757026E-2</v>
      </c>
    </row>
    <row r="198" spans="1:3" x14ac:dyDescent="0.35">
      <c r="A198" s="2">
        <v>169</v>
      </c>
      <c r="B198" s="2">
        <v>1.993425670966535</v>
      </c>
      <c r="C198" s="2">
        <v>-0.3834256709665349</v>
      </c>
    </row>
    <row r="199" spans="1:3" x14ac:dyDescent="0.35">
      <c r="A199" s="2">
        <v>170</v>
      </c>
      <c r="B199" s="2">
        <v>1.9971962117108328</v>
      </c>
      <c r="C199" s="2">
        <v>2.8037882891671639E-3</v>
      </c>
    </row>
    <row r="200" spans="1:3" x14ac:dyDescent="0.35">
      <c r="A200" s="2">
        <v>171</v>
      </c>
      <c r="B200" s="2">
        <v>5.9230362451385243</v>
      </c>
      <c r="C200" s="2">
        <v>4.0769637548614757</v>
      </c>
    </row>
    <row r="201" spans="1:3" x14ac:dyDescent="0.35">
      <c r="A201" s="2">
        <v>172</v>
      </c>
      <c r="B201" s="2">
        <v>2.4488487233310154</v>
      </c>
      <c r="C201" s="2">
        <v>0.7111512766689847</v>
      </c>
    </row>
    <row r="202" spans="1:3" x14ac:dyDescent="0.35">
      <c r="A202" s="2">
        <v>173</v>
      </c>
      <c r="B202" s="2">
        <v>1.6949583090342404</v>
      </c>
      <c r="C202" s="2">
        <v>3.4550416909657597</v>
      </c>
    </row>
    <row r="203" spans="1:3" x14ac:dyDescent="0.35">
      <c r="A203" s="2">
        <v>174</v>
      </c>
      <c r="B203" s="2">
        <v>4.0138408667773353</v>
      </c>
      <c r="C203" s="2">
        <v>-0.83384086677733515</v>
      </c>
    </row>
    <row r="204" spans="1:3" x14ac:dyDescent="0.35">
      <c r="A204" s="2">
        <v>175</v>
      </c>
      <c r="B204" s="2">
        <v>2.5970601821074686</v>
      </c>
      <c r="C204" s="2">
        <v>1.4029398178925314</v>
      </c>
    </row>
    <row r="205" spans="1:3" x14ac:dyDescent="0.35">
      <c r="A205" s="2">
        <v>176</v>
      </c>
      <c r="B205" s="2">
        <v>4.1128175613151505</v>
      </c>
      <c r="C205" s="2">
        <v>-1.0028175613151507</v>
      </c>
    </row>
    <row r="206" spans="1:3" x14ac:dyDescent="0.35">
      <c r="A206" s="2">
        <v>177</v>
      </c>
      <c r="B206" s="2">
        <v>2.6979221470174326</v>
      </c>
      <c r="C206" s="2">
        <v>-0.6979221470174326</v>
      </c>
    </row>
    <row r="207" spans="1:3" x14ac:dyDescent="0.35">
      <c r="A207" s="2">
        <v>178</v>
      </c>
      <c r="B207" s="2">
        <v>2.3764835485660525</v>
      </c>
      <c r="C207" s="2">
        <v>-0.37648354856605248</v>
      </c>
    </row>
    <row r="208" spans="1:3" x14ac:dyDescent="0.35">
      <c r="A208" s="2">
        <v>179</v>
      </c>
      <c r="B208" s="2">
        <v>1.9531100925281024</v>
      </c>
      <c r="C208" s="2">
        <v>2.0468899074718978</v>
      </c>
    </row>
    <row r="209" spans="1:3" x14ac:dyDescent="0.35">
      <c r="A209" s="2">
        <v>180</v>
      </c>
      <c r="B209" s="2">
        <v>4.2758934485060269</v>
      </c>
      <c r="C209" s="2">
        <v>-0.72589344850602711</v>
      </c>
    </row>
    <row r="210" spans="1:3" x14ac:dyDescent="0.35">
      <c r="A210" s="2">
        <v>181</v>
      </c>
      <c r="B210" s="2">
        <v>4.627707459972191</v>
      </c>
      <c r="C210" s="2">
        <v>-0.94770745997219086</v>
      </c>
    </row>
    <row r="211" spans="1:3" x14ac:dyDescent="0.35">
      <c r="A211" s="2">
        <v>182</v>
      </c>
      <c r="B211" s="2">
        <v>3.2107156882419217</v>
      </c>
      <c r="C211" s="2">
        <v>2.4392843117580787</v>
      </c>
    </row>
    <row r="212" spans="1:3" x14ac:dyDescent="0.35">
      <c r="A212" s="2">
        <v>183</v>
      </c>
      <c r="B212" s="2">
        <v>5.461362738524822</v>
      </c>
      <c r="C212" s="2">
        <v>-1.961362738524822</v>
      </c>
    </row>
    <row r="213" spans="1:3" x14ac:dyDescent="0.35">
      <c r="A213" s="2">
        <v>184</v>
      </c>
      <c r="B213" s="2">
        <v>3.5455622663587474</v>
      </c>
      <c r="C213" s="2">
        <v>2.9544377336412526</v>
      </c>
    </row>
    <row r="214" spans="1:3" x14ac:dyDescent="0.35">
      <c r="A214" s="2">
        <v>185</v>
      </c>
      <c r="B214" s="2">
        <v>4.8339334786620878</v>
      </c>
      <c r="C214" s="2">
        <v>-1.8339334786620878</v>
      </c>
    </row>
    <row r="215" spans="1:3" x14ac:dyDescent="0.35">
      <c r="A215" s="2">
        <v>186</v>
      </c>
      <c r="B215" s="2">
        <v>3.5595974415492302</v>
      </c>
      <c r="C215" s="2">
        <v>1.4404025584507698</v>
      </c>
    </row>
    <row r="216" spans="1:3" x14ac:dyDescent="0.35">
      <c r="A216" s="2">
        <v>187</v>
      </c>
      <c r="B216" s="2">
        <v>3.1932522233392149</v>
      </c>
      <c r="C216" s="2">
        <v>0.30674777666078512</v>
      </c>
    </row>
    <row r="217" spans="1:3" x14ac:dyDescent="0.35">
      <c r="A217" s="2">
        <v>188</v>
      </c>
      <c r="B217" s="2">
        <v>4.407707687554014</v>
      </c>
      <c r="C217" s="2">
        <v>-2.407707687554014</v>
      </c>
    </row>
    <row r="218" spans="1:3" x14ac:dyDescent="0.35">
      <c r="A218" s="2">
        <v>189</v>
      </c>
      <c r="B218" s="2">
        <v>2.9340275471687471</v>
      </c>
      <c r="C218" s="2">
        <v>0.56597245283125286</v>
      </c>
    </row>
    <row r="219" spans="1:3" x14ac:dyDescent="0.35">
      <c r="A219" s="2">
        <v>190</v>
      </c>
      <c r="B219" s="2">
        <v>3.3639994495092185</v>
      </c>
      <c r="C219" s="2">
        <v>0.63600055049078152</v>
      </c>
    </row>
    <row r="220" spans="1:3" x14ac:dyDescent="0.35">
      <c r="A220" s="2">
        <v>191</v>
      </c>
      <c r="B220" s="2">
        <v>2.4905424060810581</v>
      </c>
      <c r="C220" s="2">
        <v>-0.99054240608105815</v>
      </c>
    </row>
    <row r="221" spans="1:3" x14ac:dyDescent="0.35">
      <c r="A221" s="2">
        <v>192</v>
      </c>
      <c r="B221" s="2">
        <v>2.8725309642822774</v>
      </c>
      <c r="C221" s="2">
        <v>1.317469035717723</v>
      </c>
    </row>
    <row r="222" spans="1:3" x14ac:dyDescent="0.35">
      <c r="A222" s="2">
        <v>193</v>
      </c>
      <c r="B222" s="2">
        <v>3.6493926150981384</v>
      </c>
      <c r="C222" s="2">
        <v>-1.0893926150981383</v>
      </c>
    </row>
    <row r="223" spans="1:3" x14ac:dyDescent="0.35">
      <c r="A223" s="2">
        <v>194</v>
      </c>
      <c r="B223" s="2">
        <v>2.4277374139456782</v>
      </c>
      <c r="C223" s="2">
        <v>-0.4077374139456782</v>
      </c>
    </row>
    <row r="224" spans="1:3" x14ac:dyDescent="0.35">
      <c r="A224" s="2">
        <v>195</v>
      </c>
      <c r="B224" s="2">
        <v>2.5314272844138652</v>
      </c>
      <c r="C224" s="2">
        <v>1.4685727155861348</v>
      </c>
    </row>
    <row r="225" spans="1:3" x14ac:dyDescent="0.35">
      <c r="A225" s="2">
        <v>196</v>
      </c>
      <c r="B225" s="2">
        <v>1.7540146773646639</v>
      </c>
      <c r="C225" s="2">
        <v>-0.31401467736466393</v>
      </c>
    </row>
    <row r="226" spans="1:3" x14ac:dyDescent="0.35">
      <c r="A226" s="2">
        <v>197</v>
      </c>
      <c r="B226" s="2">
        <v>1.9432229283034217</v>
      </c>
      <c r="C226" s="2">
        <v>5.6777071696578307E-2</v>
      </c>
    </row>
    <row r="227" spans="1:3" x14ac:dyDescent="0.35">
      <c r="A227" s="2">
        <v>198</v>
      </c>
      <c r="B227" s="2">
        <v>5.4187996889297123</v>
      </c>
      <c r="C227" s="2">
        <v>-0.41879968892971231</v>
      </c>
    </row>
    <row r="228" spans="1:3" x14ac:dyDescent="0.35">
      <c r="A228" s="2">
        <v>199</v>
      </c>
      <c r="B228" s="2">
        <v>2.2305964025655909</v>
      </c>
      <c r="C228" s="2">
        <v>-0.23059640256559089</v>
      </c>
    </row>
    <row r="229" spans="1:3" x14ac:dyDescent="0.35">
      <c r="A229" s="2">
        <v>200</v>
      </c>
      <c r="B229" s="2">
        <v>2.2420382822890157</v>
      </c>
      <c r="C229" s="2">
        <v>-0.24203828228901569</v>
      </c>
    </row>
    <row r="230" spans="1:3" x14ac:dyDescent="0.35">
      <c r="A230" s="2">
        <v>201</v>
      </c>
      <c r="B230" s="2">
        <v>2.9071729495947269</v>
      </c>
      <c r="C230" s="2">
        <v>1.0928270504052731</v>
      </c>
    </row>
    <row r="231" spans="1:3" x14ac:dyDescent="0.35">
      <c r="A231" s="2">
        <v>202</v>
      </c>
      <c r="B231" s="2">
        <v>2.206087887727656</v>
      </c>
      <c r="C231" s="2">
        <v>-0.19608788772765617</v>
      </c>
    </row>
    <row r="232" spans="1:3" x14ac:dyDescent="0.35">
      <c r="A232" s="2">
        <v>203</v>
      </c>
      <c r="B232" s="2">
        <v>2.5510923658308968</v>
      </c>
      <c r="C232" s="2">
        <v>-5.1092365830896824E-2</v>
      </c>
    </row>
    <row r="233" spans="1:3" x14ac:dyDescent="0.35">
      <c r="A233" s="2">
        <v>204</v>
      </c>
      <c r="B233" s="2">
        <v>3.2536969240072811</v>
      </c>
      <c r="C233" s="2">
        <v>0.74630307599271895</v>
      </c>
    </row>
    <row r="234" spans="1:3" x14ac:dyDescent="0.35">
      <c r="A234" s="2">
        <v>205</v>
      </c>
      <c r="B234" s="2">
        <v>2.7326551826804257</v>
      </c>
      <c r="C234" s="2">
        <v>0.49734481731957425</v>
      </c>
    </row>
    <row r="235" spans="1:3" x14ac:dyDescent="0.35">
      <c r="A235" s="2">
        <v>206</v>
      </c>
      <c r="B235" s="2">
        <v>3.6399738244662578</v>
      </c>
      <c r="C235" s="2">
        <v>-0.22997382446625769</v>
      </c>
    </row>
    <row r="236" spans="1:3" x14ac:dyDescent="0.35">
      <c r="A236" s="2">
        <v>207</v>
      </c>
      <c r="B236" s="2">
        <v>4.9592973109076226</v>
      </c>
      <c r="C236" s="2">
        <v>-1.9592973109076226</v>
      </c>
    </row>
    <row r="237" spans="1:3" x14ac:dyDescent="0.35">
      <c r="A237" s="2">
        <v>208</v>
      </c>
      <c r="B237" s="2">
        <v>3.2463180907499822</v>
      </c>
      <c r="C237" s="2">
        <v>-1.2163180907499824</v>
      </c>
    </row>
    <row r="238" spans="1:3" x14ac:dyDescent="0.35">
      <c r="A238" s="2">
        <v>209</v>
      </c>
      <c r="B238" s="2">
        <v>2.197977506344686</v>
      </c>
      <c r="C238" s="2">
        <v>3.2022493655313955E-2</v>
      </c>
    </row>
    <row r="239" spans="1:3" x14ac:dyDescent="0.35">
      <c r="A239" s="2">
        <v>210</v>
      </c>
      <c r="B239" s="2">
        <v>3.9670682340340848</v>
      </c>
      <c r="C239" s="2">
        <v>-1.9670682340340848</v>
      </c>
    </row>
    <row r="240" spans="1:3" x14ac:dyDescent="0.35">
      <c r="A240" s="2">
        <v>211</v>
      </c>
      <c r="B240" s="2">
        <v>3.7489537319880561</v>
      </c>
      <c r="C240" s="2">
        <v>1.411046268011944</v>
      </c>
    </row>
    <row r="241" spans="1:3" x14ac:dyDescent="0.35">
      <c r="A241" s="2">
        <v>212</v>
      </c>
      <c r="B241" s="2">
        <v>5.9370714203290067</v>
      </c>
      <c r="C241" s="2">
        <v>3.0629285796709933</v>
      </c>
    </row>
    <row r="242" spans="1:3" x14ac:dyDescent="0.35">
      <c r="A242" s="2">
        <v>213</v>
      </c>
      <c r="B242" s="2">
        <v>2.2460519008344821</v>
      </c>
      <c r="C242" s="2">
        <v>0.25394809916551786</v>
      </c>
    </row>
    <row r="243" spans="1:3" x14ac:dyDescent="0.35">
      <c r="A243" s="2">
        <v>214</v>
      </c>
      <c r="B243" s="2">
        <v>3.8255426986323893</v>
      </c>
      <c r="C243" s="2">
        <v>2.6744573013676107</v>
      </c>
    </row>
    <row r="244" spans="1:3" x14ac:dyDescent="0.35">
      <c r="A244" s="2">
        <v>215</v>
      </c>
      <c r="B244" s="2">
        <v>2.2111743989497281</v>
      </c>
      <c r="C244" s="2">
        <v>-1.111174398949728</v>
      </c>
    </row>
    <row r="245" spans="1:3" x14ac:dyDescent="0.35">
      <c r="A245" s="2">
        <v>216</v>
      </c>
      <c r="B245" s="2">
        <v>4.1369536545878844</v>
      </c>
      <c r="C245" s="2">
        <v>-1.1369536545878844</v>
      </c>
    </row>
    <row r="246" spans="1:3" x14ac:dyDescent="0.35">
      <c r="A246" s="2">
        <v>217</v>
      </c>
      <c r="B246" s="2">
        <v>2.0510566748076067</v>
      </c>
      <c r="C246" s="2">
        <v>-0.55105667480760667</v>
      </c>
    </row>
    <row r="247" spans="1:3" x14ac:dyDescent="0.35">
      <c r="A247" s="2">
        <v>218</v>
      </c>
      <c r="B247" s="2">
        <v>1.6881421281689515</v>
      </c>
      <c r="C247" s="2">
        <v>-0.24814212816895154</v>
      </c>
    </row>
    <row r="248" spans="1:3" x14ac:dyDescent="0.35">
      <c r="A248" s="2">
        <v>219</v>
      </c>
      <c r="B248" s="2">
        <v>4.1862062008360592</v>
      </c>
      <c r="C248" s="2">
        <v>-1.0962062008360594</v>
      </c>
    </row>
    <row r="249" spans="1:3" x14ac:dyDescent="0.35">
      <c r="A249" s="2">
        <v>220</v>
      </c>
      <c r="B249" s="2">
        <v>2.1677878371519039</v>
      </c>
      <c r="C249" s="2">
        <v>3.2212162848096249E-2</v>
      </c>
    </row>
    <row r="250" spans="1:3" x14ac:dyDescent="0.35">
      <c r="A250" s="2">
        <v>221</v>
      </c>
      <c r="B250" s="2">
        <v>2.3231923853636527</v>
      </c>
      <c r="C250" s="2">
        <v>1.1568076146363473</v>
      </c>
    </row>
    <row r="251" spans="1:3" x14ac:dyDescent="0.35">
      <c r="A251" s="2">
        <v>222</v>
      </c>
      <c r="B251" s="2">
        <v>1.65536006999025</v>
      </c>
      <c r="C251" s="2">
        <v>0.26463993000974995</v>
      </c>
    </row>
    <row r="252" spans="1:3" x14ac:dyDescent="0.35">
      <c r="A252" s="2">
        <v>223</v>
      </c>
      <c r="B252" s="2">
        <v>2.8123156943356484</v>
      </c>
      <c r="C252" s="2">
        <v>0.18768430566435157</v>
      </c>
    </row>
    <row r="253" spans="1:3" x14ac:dyDescent="0.35">
      <c r="A253" s="2">
        <v>224</v>
      </c>
      <c r="B253" s="2">
        <v>2.2865598705972818</v>
      </c>
      <c r="C253" s="2">
        <v>-0.70655987059728176</v>
      </c>
    </row>
    <row r="254" spans="1:3" x14ac:dyDescent="0.35">
      <c r="A254" s="2">
        <v>225</v>
      </c>
      <c r="B254" s="2">
        <v>2.5918434133948649</v>
      </c>
      <c r="C254" s="2">
        <v>-9.1843413394864903E-2</v>
      </c>
    </row>
    <row r="255" spans="1:3" x14ac:dyDescent="0.35">
      <c r="A255" s="2">
        <v>226</v>
      </c>
      <c r="B255" s="2">
        <v>2.0092948684008678</v>
      </c>
      <c r="C255" s="2">
        <v>-9.2948684008677951E-3</v>
      </c>
    </row>
    <row r="256" spans="1:3" x14ac:dyDescent="0.35">
      <c r="A256" s="2">
        <v>227</v>
      </c>
      <c r="B256" s="2">
        <v>3.3090045215534998</v>
      </c>
      <c r="C256" s="2">
        <v>-0.30900452155349978</v>
      </c>
    </row>
    <row r="257" spans="1:3" x14ac:dyDescent="0.35">
      <c r="A257" s="2">
        <v>228</v>
      </c>
      <c r="B257" s="2">
        <v>2.2832063520441181</v>
      </c>
      <c r="C257" s="2">
        <v>0.43679364795588205</v>
      </c>
    </row>
    <row r="258" spans="1:3" x14ac:dyDescent="0.35">
      <c r="A258" s="2">
        <v>229</v>
      </c>
      <c r="B258" s="2">
        <v>3.0802840405103513</v>
      </c>
      <c r="C258" s="2">
        <v>-0.20028404051035142</v>
      </c>
    </row>
    <row r="259" spans="1:3" x14ac:dyDescent="0.35">
      <c r="A259" s="2">
        <v>230</v>
      </c>
      <c r="B259" s="2">
        <v>3.5717383170060639</v>
      </c>
      <c r="C259" s="2">
        <v>-1.5717383170060639</v>
      </c>
    </row>
    <row r="260" spans="1:3" x14ac:dyDescent="0.35">
      <c r="A260" s="2">
        <v>231</v>
      </c>
      <c r="B260" s="2">
        <v>2.6125014716451305</v>
      </c>
      <c r="C260" s="2">
        <v>0.38749852835486953</v>
      </c>
    </row>
    <row r="261" spans="1:3" x14ac:dyDescent="0.35">
      <c r="A261" s="2">
        <v>232</v>
      </c>
      <c r="B261" s="2">
        <v>2.1257862759696886</v>
      </c>
      <c r="C261" s="2">
        <v>1.2642137240303115</v>
      </c>
    </row>
    <row r="262" spans="1:3" x14ac:dyDescent="0.35">
      <c r="A262" s="2">
        <v>233</v>
      </c>
      <c r="B262" s="2">
        <v>2.046604920339437</v>
      </c>
      <c r="C262" s="2">
        <v>-0.576604920339437</v>
      </c>
    </row>
    <row r="263" spans="1:3" x14ac:dyDescent="0.35">
      <c r="A263" s="2">
        <v>234</v>
      </c>
      <c r="B263" s="2">
        <v>2.4224549381209313</v>
      </c>
      <c r="C263" s="2">
        <v>0.57754506187906873</v>
      </c>
    </row>
    <row r="264" spans="1:3" x14ac:dyDescent="0.35">
      <c r="A264" s="2">
        <v>235</v>
      </c>
      <c r="B264" s="2">
        <v>1.980620457314227</v>
      </c>
      <c r="C264" s="2">
        <v>-0.73062045731422698</v>
      </c>
    </row>
    <row r="265" spans="1:3" x14ac:dyDescent="0.35">
      <c r="A265" s="2">
        <v>236</v>
      </c>
      <c r="B265" s="2">
        <v>2.1462628286011238</v>
      </c>
      <c r="C265" s="2">
        <v>-1.1462628286011238</v>
      </c>
    </row>
    <row r="266" spans="1:3" x14ac:dyDescent="0.35">
      <c r="A266" s="2">
        <v>237</v>
      </c>
      <c r="B266" s="2">
        <v>4.0532138100296935</v>
      </c>
      <c r="C266" s="2">
        <v>-2.8832138100296936</v>
      </c>
    </row>
    <row r="267" spans="1:3" x14ac:dyDescent="0.35">
      <c r="A267" s="2">
        <v>238</v>
      </c>
      <c r="B267" s="2">
        <v>4.6204455819553338</v>
      </c>
      <c r="C267" s="2">
        <v>4.9554418044666093E-2</v>
      </c>
    </row>
    <row r="268" spans="1:3" x14ac:dyDescent="0.35">
      <c r="A268" s="2">
        <v>239</v>
      </c>
      <c r="B268" s="2">
        <v>3.942821140658352</v>
      </c>
      <c r="C268" s="2">
        <v>1.9771788593416479</v>
      </c>
    </row>
    <row r="269" spans="1:3" x14ac:dyDescent="0.35">
      <c r="A269" s="2">
        <v>240</v>
      </c>
      <c r="B269" s="2">
        <v>3.5572574446640122</v>
      </c>
      <c r="C269" s="2">
        <v>-1.5572574446640122</v>
      </c>
    </row>
    <row r="270" spans="1:3" x14ac:dyDescent="0.35">
      <c r="A270" s="2">
        <v>241</v>
      </c>
      <c r="B270" s="2">
        <v>3.0954964609780742</v>
      </c>
      <c r="C270" s="2">
        <v>-1.0954964609780742</v>
      </c>
    </row>
    <row r="271" spans="1:3" x14ac:dyDescent="0.35">
      <c r="A271" s="2">
        <v>242</v>
      </c>
      <c r="B271" s="2">
        <v>2.7111627265219091</v>
      </c>
      <c r="C271" s="2">
        <v>-0.96116272652190915</v>
      </c>
    </row>
    <row r="272" spans="1:3" ht="15" thickBot="1" x14ac:dyDescent="0.4">
      <c r="A272" s="3">
        <v>243</v>
      </c>
      <c r="B272" s="3">
        <v>2.7322776091855543</v>
      </c>
      <c r="C272" s="3">
        <v>0.26772239081444571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4"/>
  <sheetViews>
    <sheetView topLeftCell="B1" workbookViewId="0">
      <selection activeCell="F1" sqref="F1:G1048576"/>
    </sheetView>
  </sheetViews>
  <sheetFormatPr defaultColWidth="13.453125" defaultRowHeight="14.5" x14ac:dyDescent="0.35"/>
  <cols>
    <col min="10" max="10" width="15.36328125" bestFit="1" customWidth="1"/>
    <col min="30" max="30" width="9.90625" customWidth="1"/>
  </cols>
  <sheetData>
    <row r="1" spans="1:3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17</v>
      </c>
      <c r="J1" t="s">
        <v>18</v>
      </c>
      <c r="K1" t="s">
        <v>19</v>
      </c>
      <c r="L1" t="s">
        <v>20</v>
      </c>
      <c r="M1" t="s">
        <v>4</v>
      </c>
      <c r="N1" t="s">
        <v>5</v>
      </c>
      <c r="O1" s="23" t="s">
        <v>6</v>
      </c>
      <c r="U1" t="s">
        <v>45</v>
      </c>
      <c r="V1" t="s">
        <v>69</v>
      </c>
      <c r="W1" t="s">
        <v>75</v>
      </c>
      <c r="X1" t="s">
        <v>70</v>
      </c>
      <c r="Y1" t="s">
        <v>71</v>
      </c>
      <c r="Z1" t="s">
        <v>72</v>
      </c>
      <c r="AA1" t="s">
        <v>73</v>
      </c>
      <c r="AB1" s="24" t="s">
        <v>74</v>
      </c>
    </row>
    <row r="2" spans="1:31" ht="16" thickBot="1" x14ac:dyDescent="0.4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  <c r="I2">
        <f>IF(A2="Female",0,1)</f>
        <v>0</v>
      </c>
      <c r="J2">
        <f>IF(B2="No",0,1)</f>
        <v>0</v>
      </c>
      <c r="K2">
        <f>IF(C2="Sun",4,IF(C2="Sat",3,IF(C2="Fri",2,1)))</f>
        <v>4</v>
      </c>
      <c r="L2">
        <f>IF(D2="Lunch",0,1)</f>
        <v>1</v>
      </c>
      <c r="M2">
        <v>2</v>
      </c>
      <c r="N2">
        <v>16.989999999999998</v>
      </c>
      <c r="O2" s="23">
        <v>1.01</v>
      </c>
      <c r="Q2" s="16" t="s">
        <v>21</v>
      </c>
      <c r="U2" s="2">
        <v>0.67508094538181496</v>
      </c>
      <c r="V2">
        <f>N2*Regression!$B$23</f>
        <v>1.6015371811404544</v>
      </c>
      <c r="W2">
        <f>M2*Regression!$B$22</f>
        <v>0.34992874109401623</v>
      </c>
      <c r="X2">
        <f>I2*Regression!$B$18</f>
        <v>0</v>
      </c>
      <c r="Y2">
        <f>J2*Regression!$B$19</f>
        <v>0</v>
      </c>
      <c r="Z2">
        <f>K2*Regression!$B$20</f>
        <v>0.21202121993174294</v>
      </c>
      <c r="AA2">
        <f>L2*Regression!$B$21</f>
        <v>-0.11600626172099011</v>
      </c>
      <c r="AB2" s="25">
        <f>SUM(U2:AA2)</f>
        <v>2.7225618258270381</v>
      </c>
      <c r="AC2" s="1"/>
      <c r="AD2" s="1"/>
    </row>
    <row r="3" spans="1:31" ht="15.5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I3">
        <f t="shared" ref="I3:I66" si="0">IF(A3="Female",0,1)</f>
        <v>1</v>
      </c>
      <c r="J3">
        <f t="shared" ref="J3:J66" si="1">IF(B3="No",0,1)</f>
        <v>0</v>
      </c>
      <c r="K3">
        <f t="shared" ref="K3:K66" si="2">IF(C3="Sun",4,IF(C3="Sat",3,IF(C3="Fri",2,1)))</f>
        <v>4</v>
      </c>
      <c r="L3">
        <f t="shared" ref="L3:L66" si="3">IF(D3="Lunch",0,1)</f>
        <v>1</v>
      </c>
      <c r="M3">
        <v>3</v>
      </c>
      <c r="N3">
        <v>10.34</v>
      </c>
      <c r="O3" s="23">
        <v>1.66</v>
      </c>
      <c r="Q3" s="5" t="s">
        <v>22</v>
      </c>
      <c r="R3" s="6">
        <f>CORREL(I2:I244,O2:O244)</f>
        <v>8.5273975201494573E-2</v>
      </c>
      <c r="S3" s="6" t="s">
        <v>31</v>
      </c>
      <c r="T3" s="7"/>
      <c r="U3" s="2">
        <v>0.67508094538181496</v>
      </c>
      <c r="V3">
        <f>N3*Regression!$B$23</f>
        <v>0.97468478240095935</v>
      </c>
      <c r="W3">
        <f>M3*Regression!$B$22</f>
        <v>0.52489311164102437</v>
      </c>
      <c r="X3">
        <f>I3*Regression!$B$18</f>
        <v>-3.6632514766371221E-2</v>
      </c>
      <c r="Y3">
        <f>J3*Regression!$B$19</f>
        <v>0</v>
      </c>
      <c r="Z3">
        <f>K3*Regression!$B$20</f>
        <v>0.21202121993174294</v>
      </c>
      <c r="AA3">
        <f>L3*Regression!$B$21</f>
        <v>-0.11600626172099011</v>
      </c>
      <c r="AB3" s="25">
        <f t="shared" ref="AB3:AB66" si="4">SUM(U3:AA3)</f>
        <v>2.2340412828681804</v>
      </c>
      <c r="AC3" s="1"/>
      <c r="AD3" s="1"/>
      <c r="AE3" s="1"/>
    </row>
    <row r="4" spans="1:31" ht="15.5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I4">
        <f t="shared" si="0"/>
        <v>1</v>
      </c>
      <c r="J4">
        <f t="shared" si="1"/>
        <v>0</v>
      </c>
      <c r="K4">
        <f t="shared" si="2"/>
        <v>4</v>
      </c>
      <c r="L4">
        <f t="shared" si="3"/>
        <v>1</v>
      </c>
      <c r="M4">
        <v>3</v>
      </c>
      <c r="N4">
        <v>21.01</v>
      </c>
      <c r="O4" s="23">
        <v>3.5</v>
      </c>
      <c r="Q4" s="8" t="s">
        <v>23</v>
      </c>
      <c r="R4" s="1">
        <f>CORREL(J2:J244,O2:O244)</f>
        <v>9.7627499908010239E-3</v>
      </c>
      <c r="S4" s="1" t="s">
        <v>32</v>
      </c>
      <c r="T4" s="9"/>
      <c r="U4" s="2">
        <v>0.67508094538181496</v>
      </c>
      <c r="V4">
        <f>N4*Regression!$B$23</f>
        <v>1.9804765259423751</v>
      </c>
      <c r="W4">
        <f>M4*Regression!$B$22</f>
        <v>0.52489311164102437</v>
      </c>
      <c r="X4">
        <f>I4*Regression!$B$18</f>
        <v>-3.6632514766371221E-2</v>
      </c>
      <c r="Y4">
        <f>J4*Regression!$B$19</f>
        <v>0</v>
      </c>
      <c r="Z4">
        <f>K4*Regression!$B$20</f>
        <v>0.21202121993174294</v>
      </c>
      <c r="AA4">
        <f>L4*Regression!$B$21</f>
        <v>-0.11600626172099011</v>
      </c>
      <c r="AB4" s="25">
        <f t="shared" si="4"/>
        <v>3.2398330264095963</v>
      </c>
      <c r="AC4" s="1"/>
      <c r="AD4" s="1"/>
      <c r="AE4" s="1"/>
    </row>
    <row r="5" spans="1:31" ht="15.5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I5">
        <f t="shared" si="0"/>
        <v>1</v>
      </c>
      <c r="J5">
        <f t="shared" si="1"/>
        <v>0</v>
      </c>
      <c r="K5">
        <f t="shared" si="2"/>
        <v>4</v>
      </c>
      <c r="L5">
        <f t="shared" si="3"/>
        <v>1</v>
      </c>
      <c r="M5">
        <v>2</v>
      </c>
      <c r="N5">
        <v>23.68</v>
      </c>
      <c r="O5" s="23">
        <v>3.31</v>
      </c>
      <c r="Q5" s="8" t="s">
        <v>24</v>
      </c>
      <c r="R5" s="1">
        <f>CORREL(K2:K244,O2:O244)</f>
        <v>0.13179752636389336</v>
      </c>
      <c r="S5" s="1" t="s">
        <v>33</v>
      </c>
      <c r="T5" s="9"/>
      <c r="U5" s="2">
        <v>0.67508094538181496</v>
      </c>
      <c r="V5">
        <f>N5*Regression!$B$23</f>
        <v>2.2321601206242474</v>
      </c>
      <c r="W5">
        <f>M5*Regression!$B$22</f>
        <v>0.34992874109401623</v>
      </c>
      <c r="X5">
        <f>I5*Regression!$B$18</f>
        <v>-3.6632514766371221E-2</v>
      </c>
      <c r="Y5">
        <f>J5*Regression!$B$19</f>
        <v>0</v>
      </c>
      <c r="Z5">
        <f>K5*Regression!$B$20</f>
        <v>0.21202121993174294</v>
      </c>
      <c r="AA5">
        <f>L5*Regression!$B$21</f>
        <v>-0.11600626172099011</v>
      </c>
      <c r="AB5" s="25">
        <f t="shared" si="4"/>
        <v>3.31655225054446</v>
      </c>
      <c r="AC5" s="1"/>
      <c r="AD5" s="1"/>
      <c r="AE5" s="1"/>
    </row>
    <row r="6" spans="1:31" ht="15.5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I6">
        <f t="shared" si="0"/>
        <v>0</v>
      </c>
      <c r="J6">
        <f t="shared" si="1"/>
        <v>0</v>
      </c>
      <c r="K6">
        <f t="shared" si="2"/>
        <v>4</v>
      </c>
      <c r="L6">
        <f t="shared" si="3"/>
        <v>1</v>
      </c>
      <c r="M6">
        <v>4</v>
      </c>
      <c r="N6">
        <v>24.59</v>
      </c>
      <c r="O6" s="23">
        <v>3.61</v>
      </c>
      <c r="Q6" s="8" t="s">
        <v>25</v>
      </c>
      <c r="R6" s="14">
        <f>CORREL(L2:L244,O2:O244)</f>
        <v>0.117596390271059</v>
      </c>
      <c r="S6" s="14" t="s">
        <v>33</v>
      </c>
      <c r="T6" s="15"/>
      <c r="U6" s="2">
        <v>0.67508094538181496</v>
      </c>
      <c r="V6">
        <f>N6*Regression!$B$23</f>
        <v>2.3179399225570205</v>
      </c>
      <c r="W6">
        <f>M6*Regression!$B$22</f>
        <v>0.69985748218803245</v>
      </c>
      <c r="X6">
        <f>I6*Regression!$B$18</f>
        <v>0</v>
      </c>
      <c r="Y6">
        <f>J6*Regression!$B$19</f>
        <v>0</v>
      </c>
      <c r="Z6">
        <f>K6*Regression!$B$20</f>
        <v>0.21202121993174294</v>
      </c>
      <c r="AA6">
        <f>L6*Regression!$B$21</f>
        <v>-0.11600626172099011</v>
      </c>
      <c r="AB6" s="25">
        <f t="shared" si="4"/>
        <v>3.7888933083376206</v>
      </c>
      <c r="AC6" s="1"/>
      <c r="AD6" s="22"/>
      <c r="AE6" s="1"/>
    </row>
    <row r="7" spans="1:31" ht="15.5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I7">
        <f t="shared" si="0"/>
        <v>1</v>
      </c>
      <c r="J7">
        <f t="shared" si="1"/>
        <v>0</v>
      </c>
      <c r="K7">
        <f t="shared" si="2"/>
        <v>4</v>
      </c>
      <c r="L7">
        <f t="shared" si="3"/>
        <v>1</v>
      </c>
      <c r="M7">
        <v>4</v>
      </c>
      <c r="N7">
        <v>25.29</v>
      </c>
      <c r="O7" s="23">
        <v>4.71</v>
      </c>
      <c r="Q7" s="8" t="s">
        <v>26</v>
      </c>
      <c r="R7" s="1">
        <f>CORREL(M2:M244,O2:O244)</f>
        <v>0.48840039467488378</v>
      </c>
      <c r="S7" s="1" t="s">
        <v>30</v>
      </c>
      <c r="T7" s="9"/>
      <c r="U7" s="2">
        <v>0.67508094538181496</v>
      </c>
      <c r="V7">
        <f>N7*Regression!$B$23</f>
        <v>2.3839243855822305</v>
      </c>
      <c r="W7">
        <f>M7*Regression!$B$22</f>
        <v>0.69985748218803245</v>
      </c>
      <c r="X7">
        <f>I7*Regression!$B$18</f>
        <v>-3.6632514766371221E-2</v>
      </c>
      <c r="Y7">
        <f>J7*Regression!$B$19</f>
        <v>0</v>
      </c>
      <c r="Z7">
        <f>K7*Regression!$B$20</f>
        <v>0.21202121993174294</v>
      </c>
      <c r="AA7">
        <f>L7*Regression!$B$21</f>
        <v>-0.11600626172099011</v>
      </c>
      <c r="AB7" s="25">
        <f t="shared" si="4"/>
        <v>3.8182452565964593</v>
      </c>
      <c r="AC7" s="1"/>
      <c r="AD7" s="1"/>
      <c r="AE7" s="1"/>
    </row>
    <row r="8" spans="1:31" ht="16" thickBot="1" x14ac:dyDescent="0.4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I8">
        <f t="shared" si="0"/>
        <v>1</v>
      </c>
      <c r="J8">
        <f t="shared" si="1"/>
        <v>0</v>
      </c>
      <c r="K8">
        <f t="shared" si="2"/>
        <v>4</v>
      </c>
      <c r="L8">
        <f t="shared" si="3"/>
        <v>1</v>
      </c>
      <c r="M8">
        <v>2</v>
      </c>
      <c r="N8">
        <v>8.77</v>
      </c>
      <c r="O8" s="23">
        <v>2</v>
      </c>
      <c r="Q8" s="10" t="s">
        <v>27</v>
      </c>
      <c r="R8" s="11">
        <f>CORREL(N2:N244,O2:O244)</f>
        <v>0.6749978565456074</v>
      </c>
      <c r="S8" s="11" t="s">
        <v>29</v>
      </c>
      <c r="T8" s="12"/>
      <c r="U8" s="2">
        <v>0.67508094538181496</v>
      </c>
      <c r="V8">
        <f>N8*Regression!$B$23</f>
        <v>0.82669105818727395</v>
      </c>
      <c r="W8">
        <f>M8*Regression!$B$22</f>
        <v>0.34992874109401623</v>
      </c>
      <c r="X8">
        <f>I8*Regression!$B$18</f>
        <v>-3.6632514766371221E-2</v>
      </c>
      <c r="Y8">
        <f>J8*Regression!$B$19</f>
        <v>0</v>
      </c>
      <c r="Z8">
        <f>K8*Regression!$B$20</f>
        <v>0.21202121993174294</v>
      </c>
      <c r="AA8">
        <f>L8*Regression!$B$21</f>
        <v>-0.11600626172099011</v>
      </c>
      <c r="AB8" s="25">
        <f t="shared" si="4"/>
        <v>1.9110831881074868</v>
      </c>
      <c r="AC8" s="1"/>
      <c r="AD8" s="1"/>
      <c r="AE8" s="1"/>
    </row>
    <row r="9" spans="1:31" ht="15.5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I9">
        <f t="shared" si="0"/>
        <v>1</v>
      </c>
      <c r="J9">
        <f t="shared" si="1"/>
        <v>0</v>
      </c>
      <c r="K9">
        <f t="shared" si="2"/>
        <v>4</v>
      </c>
      <c r="L9">
        <f t="shared" si="3"/>
        <v>1</v>
      </c>
      <c r="M9">
        <v>4</v>
      </c>
      <c r="N9">
        <v>26.88</v>
      </c>
      <c r="O9" s="23">
        <v>3.12</v>
      </c>
      <c r="U9" s="2">
        <v>0.67508094538181496</v>
      </c>
      <c r="V9">
        <f>N9*Regression!$B$23</f>
        <v>2.5338033801680644</v>
      </c>
      <c r="W9">
        <f>M9*Regression!$B$22</f>
        <v>0.69985748218803245</v>
      </c>
      <c r="X9">
        <f>I9*Regression!$B$18</f>
        <v>-3.6632514766371221E-2</v>
      </c>
      <c r="Y9">
        <f>J9*Regression!$B$19</f>
        <v>0</v>
      </c>
      <c r="Z9">
        <f>K9*Regression!$B$20</f>
        <v>0.21202121993174294</v>
      </c>
      <c r="AA9">
        <f>L9*Regression!$B$21</f>
        <v>-0.11600626172099011</v>
      </c>
      <c r="AB9" s="25">
        <f t="shared" si="4"/>
        <v>3.9681242511822932</v>
      </c>
      <c r="AC9" s="1"/>
      <c r="AD9" s="1"/>
      <c r="AE9" s="1"/>
    </row>
    <row r="10" spans="1:31" ht="15.5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  <c r="I10">
        <f t="shared" si="0"/>
        <v>1</v>
      </c>
      <c r="J10">
        <f t="shared" si="1"/>
        <v>0</v>
      </c>
      <c r="K10">
        <f t="shared" si="2"/>
        <v>4</v>
      </c>
      <c r="L10">
        <f t="shared" si="3"/>
        <v>1</v>
      </c>
      <c r="M10">
        <v>2</v>
      </c>
      <c r="N10">
        <v>15.04</v>
      </c>
      <c r="O10" s="23">
        <v>1.96</v>
      </c>
      <c r="U10" s="2">
        <v>0.67508094538181496</v>
      </c>
      <c r="V10">
        <f>N10*Regression!$B$23</f>
        <v>1.4177233198559409</v>
      </c>
      <c r="W10">
        <f>M10*Regression!$B$22</f>
        <v>0.34992874109401623</v>
      </c>
      <c r="X10">
        <f>I10*Regression!$B$18</f>
        <v>-3.6632514766371221E-2</v>
      </c>
      <c r="Y10">
        <f>J10*Regression!$B$19</f>
        <v>0</v>
      </c>
      <c r="Z10">
        <f>K10*Regression!$B$20</f>
        <v>0.21202121993174294</v>
      </c>
      <c r="AA10">
        <f>L10*Regression!$B$21</f>
        <v>-0.11600626172099011</v>
      </c>
      <c r="AB10" s="25">
        <f t="shared" si="4"/>
        <v>2.5021154497761535</v>
      </c>
    </row>
    <row r="11" spans="1:31" ht="15.5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  <c r="I11">
        <f t="shared" si="0"/>
        <v>1</v>
      </c>
      <c r="J11">
        <f t="shared" si="1"/>
        <v>0</v>
      </c>
      <c r="K11">
        <f t="shared" si="2"/>
        <v>4</v>
      </c>
      <c r="L11">
        <f t="shared" si="3"/>
        <v>1</v>
      </c>
      <c r="M11">
        <v>2</v>
      </c>
      <c r="N11">
        <v>14.78</v>
      </c>
      <c r="O11" s="23">
        <v>3.23</v>
      </c>
      <c r="U11" s="2">
        <v>0.67508094538181496</v>
      </c>
      <c r="V11">
        <f>N11*Regression!$B$23</f>
        <v>1.3932148050180058</v>
      </c>
      <c r="W11">
        <f>M11*Regression!$B$22</f>
        <v>0.34992874109401623</v>
      </c>
      <c r="X11">
        <f>I11*Regression!$B$18</f>
        <v>-3.6632514766371221E-2</v>
      </c>
      <c r="Y11">
        <f>J11*Regression!$B$19</f>
        <v>0</v>
      </c>
      <c r="Z11">
        <f>K11*Regression!$B$20</f>
        <v>0.21202121993174294</v>
      </c>
      <c r="AA11">
        <f>L11*Regression!$B$21</f>
        <v>-0.11600626172099011</v>
      </c>
      <c r="AB11" s="25">
        <f t="shared" si="4"/>
        <v>2.4776069349382182</v>
      </c>
    </row>
    <row r="12" spans="1:31" ht="15.5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  <c r="I12">
        <f t="shared" si="0"/>
        <v>1</v>
      </c>
      <c r="J12">
        <f t="shared" si="1"/>
        <v>0</v>
      </c>
      <c r="K12">
        <f t="shared" si="2"/>
        <v>4</v>
      </c>
      <c r="L12">
        <f t="shared" si="3"/>
        <v>1</v>
      </c>
      <c r="M12">
        <v>2</v>
      </c>
      <c r="N12">
        <v>10.27</v>
      </c>
      <c r="O12" s="23">
        <v>1.71</v>
      </c>
      <c r="T12" s="13"/>
      <c r="U12" s="2">
        <v>0.67508094538181496</v>
      </c>
      <c r="V12">
        <f>N12*Regression!$B$23</f>
        <v>0.9680863360984383</v>
      </c>
      <c r="W12">
        <f>M12*Regression!$B$22</f>
        <v>0.34992874109401623</v>
      </c>
      <c r="X12">
        <f>I12*Regression!$B$18</f>
        <v>-3.6632514766371221E-2</v>
      </c>
      <c r="Y12">
        <f>J12*Regression!$B$19</f>
        <v>0</v>
      </c>
      <c r="Z12">
        <f>K12*Regression!$B$20</f>
        <v>0.21202121993174294</v>
      </c>
      <c r="AA12">
        <f>L12*Regression!$B$21</f>
        <v>-0.11600626172099011</v>
      </c>
      <c r="AB12" s="25">
        <f t="shared" si="4"/>
        <v>2.052478466018651</v>
      </c>
    </row>
    <row r="13" spans="1:31" ht="15.5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  <c r="I13">
        <f t="shared" si="0"/>
        <v>0</v>
      </c>
      <c r="J13">
        <f t="shared" si="1"/>
        <v>0</v>
      </c>
      <c r="K13">
        <f t="shared" si="2"/>
        <v>4</v>
      </c>
      <c r="L13">
        <f t="shared" si="3"/>
        <v>1</v>
      </c>
      <c r="M13">
        <v>4</v>
      </c>
      <c r="N13">
        <v>35.26</v>
      </c>
      <c r="O13" s="23">
        <v>5</v>
      </c>
      <c r="U13" s="2">
        <v>0.67508094538181496</v>
      </c>
      <c r="V13">
        <f>N13*Regression!$B$23</f>
        <v>3.3237316660984355</v>
      </c>
      <c r="W13">
        <f>M13*Regression!$B$22</f>
        <v>0.69985748218803245</v>
      </c>
      <c r="X13">
        <f>I13*Regression!$B$18</f>
        <v>0</v>
      </c>
      <c r="Y13">
        <f>J13*Regression!$B$19</f>
        <v>0</v>
      </c>
      <c r="Z13">
        <f>K13*Regression!$B$20</f>
        <v>0.21202121993174294</v>
      </c>
      <c r="AA13">
        <f>L13*Regression!$B$21</f>
        <v>-0.11600626172099011</v>
      </c>
      <c r="AB13" s="25">
        <f t="shared" si="4"/>
        <v>4.7946850518790356</v>
      </c>
    </row>
    <row r="14" spans="1:31" ht="15.5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  <c r="I14">
        <f t="shared" si="0"/>
        <v>1</v>
      </c>
      <c r="J14">
        <f t="shared" si="1"/>
        <v>0</v>
      </c>
      <c r="K14">
        <f t="shared" si="2"/>
        <v>4</v>
      </c>
      <c r="L14">
        <f t="shared" si="3"/>
        <v>1</v>
      </c>
      <c r="M14">
        <v>2</v>
      </c>
      <c r="N14">
        <v>15.42</v>
      </c>
      <c r="O14" s="23">
        <v>1.57</v>
      </c>
      <c r="U14" s="2">
        <v>0.67508094538181496</v>
      </c>
      <c r="V14">
        <f>N14*Regression!$B$23</f>
        <v>1.4535434569267691</v>
      </c>
      <c r="W14">
        <f>M14*Regression!$B$22</f>
        <v>0.34992874109401623</v>
      </c>
      <c r="X14">
        <f>I14*Regression!$B$18</f>
        <v>-3.6632514766371221E-2</v>
      </c>
      <c r="Y14">
        <f>J14*Regression!$B$19</f>
        <v>0</v>
      </c>
      <c r="Z14">
        <f>K14*Regression!$B$20</f>
        <v>0.21202121993174294</v>
      </c>
      <c r="AA14">
        <f>L14*Regression!$B$21</f>
        <v>-0.11600626172099011</v>
      </c>
      <c r="AB14" s="25">
        <f t="shared" si="4"/>
        <v>2.5379355868469817</v>
      </c>
    </row>
    <row r="15" spans="1:31" ht="15.5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  <c r="I15">
        <f t="shared" si="0"/>
        <v>1</v>
      </c>
      <c r="J15">
        <f t="shared" si="1"/>
        <v>0</v>
      </c>
      <c r="K15">
        <f t="shared" si="2"/>
        <v>4</v>
      </c>
      <c r="L15">
        <f t="shared" si="3"/>
        <v>1</v>
      </c>
      <c r="M15">
        <v>4</v>
      </c>
      <c r="N15">
        <v>18.43</v>
      </c>
      <c r="O15" s="23">
        <v>3</v>
      </c>
      <c r="U15" s="2">
        <v>0.67508094538181496</v>
      </c>
      <c r="V15">
        <f>N15*Regression!$B$23</f>
        <v>1.7372766479351722</v>
      </c>
      <c r="W15">
        <f>M15*Regression!$B$22</f>
        <v>0.69985748218803245</v>
      </c>
      <c r="X15">
        <f>I15*Regression!$B$18</f>
        <v>-3.6632514766371221E-2</v>
      </c>
      <c r="Y15">
        <f>J15*Regression!$B$19</f>
        <v>0</v>
      </c>
      <c r="Z15">
        <f>K15*Regression!$B$20</f>
        <v>0.21202121993174294</v>
      </c>
      <c r="AA15">
        <f>L15*Regression!$B$21</f>
        <v>-0.11600626172099011</v>
      </c>
      <c r="AB15" s="25">
        <f t="shared" si="4"/>
        <v>3.171597518949401</v>
      </c>
    </row>
    <row r="16" spans="1:31" ht="15.5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  <c r="I16">
        <f t="shared" si="0"/>
        <v>0</v>
      </c>
      <c r="J16">
        <f t="shared" si="1"/>
        <v>0</v>
      </c>
      <c r="K16">
        <f t="shared" si="2"/>
        <v>4</v>
      </c>
      <c r="L16">
        <f t="shared" si="3"/>
        <v>1</v>
      </c>
      <c r="M16">
        <v>2</v>
      </c>
      <c r="N16">
        <v>14.83</v>
      </c>
      <c r="O16" s="23">
        <v>3.02</v>
      </c>
      <c r="U16" s="2">
        <v>0.67508094538181496</v>
      </c>
      <c r="V16">
        <f>N16*Regression!$B$23</f>
        <v>1.397927980948378</v>
      </c>
      <c r="W16">
        <f>M16*Regression!$B$22</f>
        <v>0.34992874109401623</v>
      </c>
      <c r="X16">
        <f>I16*Regression!$B$18</f>
        <v>0</v>
      </c>
      <c r="Y16">
        <f>J16*Regression!$B$19</f>
        <v>0</v>
      </c>
      <c r="Z16">
        <f>K16*Regression!$B$20</f>
        <v>0.21202121993174294</v>
      </c>
      <c r="AA16">
        <f>L16*Regression!$B$21</f>
        <v>-0.11600626172099011</v>
      </c>
      <c r="AB16" s="25">
        <f t="shared" si="4"/>
        <v>2.5189526256349617</v>
      </c>
    </row>
    <row r="17" spans="1:28" ht="15.5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  <c r="I17">
        <f t="shared" si="0"/>
        <v>1</v>
      </c>
      <c r="J17">
        <f t="shared" si="1"/>
        <v>0</v>
      </c>
      <c r="K17">
        <f t="shared" si="2"/>
        <v>4</v>
      </c>
      <c r="L17">
        <f t="shared" si="3"/>
        <v>1</v>
      </c>
      <c r="M17">
        <v>2</v>
      </c>
      <c r="N17">
        <v>21.58</v>
      </c>
      <c r="O17" s="23">
        <v>3.92</v>
      </c>
      <c r="U17" s="2">
        <v>0.67508094538181496</v>
      </c>
      <c r="V17">
        <f>N17*Regression!$B$23</f>
        <v>2.034206731548617</v>
      </c>
      <c r="W17">
        <f>M17*Regression!$B$22</f>
        <v>0.34992874109401623</v>
      </c>
      <c r="X17">
        <f>I17*Regression!$B$18</f>
        <v>-3.6632514766371221E-2</v>
      </c>
      <c r="Y17">
        <f>J17*Regression!$B$19</f>
        <v>0</v>
      </c>
      <c r="Z17">
        <f>K17*Regression!$B$20</f>
        <v>0.21202121993174294</v>
      </c>
      <c r="AA17">
        <f>L17*Regression!$B$21</f>
        <v>-0.11600626172099011</v>
      </c>
      <c r="AB17" s="25">
        <f t="shared" si="4"/>
        <v>3.1185988614688296</v>
      </c>
    </row>
    <row r="18" spans="1:28" ht="15.5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  <c r="I18">
        <f t="shared" si="0"/>
        <v>0</v>
      </c>
      <c r="J18">
        <f t="shared" si="1"/>
        <v>0</v>
      </c>
      <c r="K18">
        <f t="shared" si="2"/>
        <v>4</v>
      </c>
      <c r="L18">
        <f t="shared" si="3"/>
        <v>1</v>
      </c>
      <c r="M18">
        <v>3</v>
      </c>
      <c r="N18">
        <v>10.33</v>
      </c>
      <c r="O18" s="23">
        <v>1.67</v>
      </c>
      <c r="U18" s="2">
        <v>0.67508094538181496</v>
      </c>
      <c r="V18">
        <f>N18*Regression!$B$23</f>
        <v>0.97374214721488495</v>
      </c>
      <c r="W18">
        <f>M18*Regression!$B$22</f>
        <v>0.52489311164102437</v>
      </c>
      <c r="X18">
        <f>I18*Regression!$B$18</f>
        <v>0</v>
      </c>
      <c r="Y18">
        <f>J18*Regression!$B$19</f>
        <v>0</v>
      </c>
      <c r="Z18">
        <f>K18*Regression!$B$20</f>
        <v>0.21202121993174294</v>
      </c>
      <c r="AA18">
        <f>L18*Regression!$B$21</f>
        <v>-0.11600626172099011</v>
      </c>
      <c r="AB18" s="25">
        <f t="shared" si="4"/>
        <v>2.2697311624484771</v>
      </c>
    </row>
    <row r="19" spans="1:28" ht="15.5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  <c r="I19">
        <f t="shared" si="0"/>
        <v>1</v>
      </c>
      <c r="J19">
        <f t="shared" si="1"/>
        <v>0</v>
      </c>
      <c r="K19">
        <f t="shared" si="2"/>
        <v>4</v>
      </c>
      <c r="L19">
        <f t="shared" si="3"/>
        <v>1</v>
      </c>
      <c r="M19">
        <v>3</v>
      </c>
      <c r="N19">
        <v>16.29</v>
      </c>
      <c r="O19" s="23">
        <v>3.71</v>
      </c>
      <c r="U19" s="2">
        <v>0.67508094538181496</v>
      </c>
      <c r="V19">
        <f>N19*Regression!$B$23</f>
        <v>1.5355527181152444</v>
      </c>
      <c r="W19">
        <f>M19*Regression!$B$22</f>
        <v>0.52489311164102437</v>
      </c>
      <c r="X19">
        <f>I19*Regression!$B$18</f>
        <v>-3.6632514766371221E-2</v>
      </c>
      <c r="Y19">
        <f>J19*Regression!$B$19</f>
        <v>0</v>
      </c>
      <c r="Z19">
        <f>K19*Regression!$B$20</f>
        <v>0.21202121993174294</v>
      </c>
      <c r="AA19">
        <f>L19*Regression!$B$21</f>
        <v>-0.11600626172099011</v>
      </c>
      <c r="AB19" s="25">
        <f t="shared" si="4"/>
        <v>2.7949092185824655</v>
      </c>
    </row>
    <row r="20" spans="1:28" ht="15.5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  <c r="I20">
        <f t="shared" si="0"/>
        <v>0</v>
      </c>
      <c r="J20">
        <f t="shared" si="1"/>
        <v>0</v>
      </c>
      <c r="K20">
        <f t="shared" si="2"/>
        <v>4</v>
      </c>
      <c r="L20">
        <f t="shared" si="3"/>
        <v>1</v>
      </c>
      <c r="M20">
        <v>3</v>
      </c>
      <c r="N20">
        <v>16.97</v>
      </c>
      <c r="O20" s="23">
        <v>3.5</v>
      </c>
      <c r="U20" s="2">
        <v>0.67508094538181496</v>
      </c>
      <c r="V20">
        <f>N20*Regression!$B$23</f>
        <v>1.5996519107683056</v>
      </c>
      <c r="W20">
        <f>M20*Regression!$B$22</f>
        <v>0.52489311164102437</v>
      </c>
      <c r="X20">
        <f>I20*Regression!$B$18</f>
        <v>0</v>
      </c>
      <c r="Y20">
        <f>J20*Regression!$B$19</f>
        <v>0</v>
      </c>
      <c r="Z20">
        <f>K20*Regression!$B$20</f>
        <v>0.21202121993174294</v>
      </c>
      <c r="AA20">
        <f>L20*Regression!$B$21</f>
        <v>-0.11600626172099011</v>
      </c>
      <c r="AB20" s="25">
        <f t="shared" si="4"/>
        <v>2.895640926001898</v>
      </c>
    </row>
    <row r="21" spans="1:28" ht="15.5" x14ac:dyDescent="0.35">
      <c r="A21" t="s">
        <v>11</v>
      </c>
      <c r="B21" t="s">
        <v>8</v>
      </c>
      <c r="C21" t="s">
        <v>12</v>
      </c>
      <c r="D21" t="s">
        <v>10</v>
      </c>
      <c r="E21">
        <v>3</v>
      </c>
      <c r="F21">
        <v>20.65</v>
      </c>
      <c r="G21">
        <v>3.35</v>
      </c>
      <c r="I21">
        <f t="shared" si="0"/>
        <v>1</v>
      </c>
      <c r="J21">
        <f t="shared" si="1"/>
        <v>0</v>
      </c>
      <c r="K21">
        <f t="shared" si="2"/>
        <v>3</v>
      </c>
      <c r="L21">
        <f t="shared" si="3"/>
        <v>1</v>
      </c>
      <c r="M21">
        <v>3</v>
      </c>
      <c r="N21">
        <v>20.65</v>
      </c>
      <c r="O21" s="23">
        <v>3.35</v>
      </c>
      <c r="U21" s="2">
        <v>0.67508094538181496</v>
      </c>
      <c r="V21">
        <f>N21*Regression!$B$23</f>
        <v>1.9465416592436953</v>
      </c>
      <c r="W21">
        <f>M21*Regression!$B$22</f>
        <v>0.52489311164102437</v>
      </c>
      <c r="X21">
        <f>I21*Regression!$B$18</f>
        <v>-3.6632514766371221E-2</v>
      </c>
      <c r="Y21">
        <f>J21*Regression!$B$19</f>
        <v>0</v>
      </c>
      <c r="Z21">
        <f>K21*Regression!$B$20</f>
        <v>0.15901591494880721</v>
      </c>
      <c r="AA21">
        <f>L21*Regression!$B$21</f>
        <v>-0.11600626172099011</v>
      </c>
      <c r="AB21" s="25">
        <f t="shared" si="4"/>
        <v>3.15289285472798</v>
      </c>
    </row>
    <row r="22" spans="1:28" ht="15.5" x14ac:dyDescent="0.35">
      <c r="A22" t="s">
        <v>11</v>
      </c>
      <c r="B22" t="s">
        <v>8</v>
      </c>
      <c r="C22" t="s">
        <v>12</v>
      </c>
      <c r="D22" t="s">
        <v>10</v>
      </c>
      <c r="E22">
        <v>2</v>
      </c>
      <c r="F22">
        <v>17.920000000000002</v>
      </c>
      <c r="G22">
        <v>4.08</v>
      </c>
      <c r="I22">
        <f t="shared" si="0"/>
        <v>1</v>
      </c>
      <c r="J22">
        <f t="shared" si="1"/>
        <v>0</v>
      </c>
      <c r="K22">
        <f t="shared" si="2"/>
        <v>3</v>
      </c>
      <c r="L22">
        <f t="shared" si="3"/>
        <v>1</v>
      </c>
      <c r="M22">
        <v>2</v>
      </c>
      <c r="N22">
        <v>17.920000000000002</v>
      </c>
      <c r="O22" s="23">
        <v>4.08</v>
      </c>
      <c r="U22" s="2">
        <v>0.67508094538181496</v>
      </c>
      <c r="V22">
        <f>N22*Regression!$B$23</f>
        <v>1.6892022534453766</v>
      </c>
      <c r="W22">
        <f>M22*Regression!$B$22</f>
        <v>0.34992874109401623</v>
      </c>
      <c r="X22">
        <f>I22*Regression!$B$18</f>
        <v>-3.6632514766371221E-2</v>
      </c>
      <c r="Y22">
        <f>J22*Regression!$B$19</f>
        <v>0</v>
      </c>
      <c r="Z22">
        <f>K22*Regression!$B$20</f>
        <v>0.15901591494880721</v>
      </c>
      <c r="AA22">
        <f>L22*Regression!$B$21</f>
        <v>-0.11600626172099011</v>
      </c>
      <c r="AB22" s="25">
        <f t="shared" si="4"/>
        <v>2.7205890783826532</v>
      </c>
    </row>
    <row r="23" spans="1:28" ht="15.5" x14ac:dyDescent="0.35">
      <c r="A23" t="s">
        <v>7</v>
      </c>
      <c r="B23" t="s">
        <v>8</v>
      </c>
      <c r="C23" t="s">
        <v>12</v>
      </c>
      <c r="D23" t="s">
        <v>10</v>
      </c>
      <c r="E23">
        <v>2</v>
      </c>
      <c r="F23">
        <v>20.29</v>
      </c>
      <c r="G23">
        <v>2.75</v>
      </c>
      <c r="I23">
        <f t="shared" si="0"/>
        <v>0</v>
      </c>
      <c r="J23">
        <f t="shared" si="1"/>
        <v>0</v>
      </c>
      <c r="K23">
        <f t="shared" si="2"/>
        <v>3</v>
      </c>
      <c r="L23">
        <f t="shared" si="3"/>
        <v>1</v>
      </c>
      <c r="M23">
        <v>2</v>
      </c>
      <c r="N23">
        <v>20.29</v>
      </c>
      <c r="O23" s="23">
        <v>2.75</v>
      </c>
      <c r="U23" s="2">
        <v>0.67508094538181496</v>
      </c>
      <c r="V23">
        <f>N23*Regression!$B$23</f>
        <v>1.9126067925450159</v>
      </c>
      <c r="W23">
        <f>M23*Regression!$B$22</f>
        <v>0.34992874109401623</v>
      </c>
      <c r="X23">
        <f>I23*Regression!$B$18</f>
        <v>0</v>
      </c>
      <c r="Y23">
        <f>J23*Regression!$B$19</f>
        <v>0</v>
      </c>
      <c r="Z23">
        <f>K23*Regression!$B$20</f>
        <v>0.15901591494880721</v>
      </c>
      <c r="AA23">
        <f>L23*Regression!$B$21</f>
        <v>-0.11600626172099011</v>
      </c>
      <c r="AB23" s="25">
        <f t="shared" si="4"/>
        <v>2.9806261322486636</v>
      </c>
    </row>
    <row r="24" spans="1:28" ht="15.5" x14ac:dyDescent="0.35">
      <c r="A24" t="s">
        <v>7</v>
      </c>
      <c r="B24" t="s">
        <v>8</v>
      </c>
      <c r="C24" t="s">
        <v>12</v>
      </c>
      <c r="D24" t="s">
        <v>10</v>
      </c>
      <c r="E24">
        <v>2</v>
      </c>
      <c r="F24">
        <v>15.77</v>
      </c>
      <c r="G24">
        <v>2.23</v>
      </c>
      <c r="I24">
        <f t="shared" si="0"/>
        <v>0</v>
      </c>
      <c r="J24">
        <f t="shared" si="1"/>
        <v>0</v>
      </c>
      <c r="K24">
        <f t="shared" si="2"/>
        <v>3</v>
      </c>
      <c r="L24">
        <f t="shared" si="3"/>
        <v>1</v>
      </c>
      <c r="M24">
        <v>2</v>
      </c>
      <c r="N24">
        <v>15.77</v>
      </c>
      <c r="O24" s="23">
        <v>2.23</v>
      </c>
      <c r="U24" s="2">
        <v>0.67508094538181496</v>
      </c>
      <c r="V24">
        <f>N24*Regression!$B$23</f>
        <v>1.4865356884393741</v>
      </c>
      <c r="W24">
        <f>M24*Regression!$B$22</f>
        <v>0.34992874109401623</v>
      </c>
      <c r="X24">
        <f>I24*Regression!$B$18</f>
        <v>0</v>
      </c>
      <c r="Y24">
        <f>J24*Regression!$B$19</f>
        <v>0</v>
      </c>
      <c r="Z24">
        <f>K24*Regression!$B$20</f>
        <v>0.15901591494880721</v>
      </c>
      <c r="AA24">
        <f>L24*Regression!$B$21</f>
        <v>-0.11600626172099011</v>
      </c>
      <c r="AB24" s="25">
        <f t="shared" si="4"/>
        <v>2.5545550281430218</v>
      </c>
    </row>
    <row r="25" spans="1:28" ht="15.5" x14ac:dyDescent="0.35">
      <c r="A25" t="s">
        <v>11</v>
      </c>
      <c r="B25" t="s">
        <v>8</v>
      </c>
      <c r="C25" t="s">
        <v>12</v>
      </c>
      <c r="D25" t="s">
        <v>10</v>
      </c>
      <c r="E25">
        <v>4</v>
      </c>
      <c r="F25">
        <v>39.42</v>
      </c>
      <c r="G25">
        <v>7.58</v>
      </c>
      <c r="I25">
        <f t="shared" si="0"/>
        <v>1</v>
      </c>
      <c r="J25">
        <f t="shared" si="1"/>
        <v>0</v>
      </c>
      <c r="K25">
        <f t="shared" si="2"/>
        <v>3</v>
      </c>
      <c r="L25">
        <f t="shared" si="3"/>
        <v>1</v>
      </c>
      <c r="M25">
        <v>4</v>
      </c>
      <c r="N25">
        <v>39.42</v>
      </c>
      <c r="O25" s="23">
        <v>7.58</v>
      </c>
      <c r="U25" s="2">
        <v>0.67508094538181496</v>
      </c>
      <c r="V25">
        <f>N25*Regression!$B$23</f>
        <v>3.7158679035053983</v>
      </c>
      <c r="W25">
        <f>M25*Regression!$B$22</f>
        <v>0.69985748218803245</v>
      </c>
      <c r="X25">
        <f>I25*Regression!$B$18</f>
        <v>-3.6632514766371221E-2</v>
      </c>
      <c r="Y25">
        <f>J25*Regression!$B$19</f>
        <v>0</v>
      </c>
      <c r="Z25">
        <f>K25*Regression!$B$20</f>
        <v>0.15901591494880721</v>
      </c>
      <c r="AA25">
        <f>L25*Regression!$B$21</f>
        <v>-0.11600626172099011</v>
      </c>
      <c r="AB25" s="25">
        <f t="shared" si="4"/>
        <v>5.0971834695366915</v>
      </c>
    </row>
    <row r="26" spans="1:28" ht="15.5" x14ac:dyDescent="0.35">
      <c r="A26" t="s">
        <v>11</v>
      </c>
      <c r="B26" t="s">
        <v>8</v>
      </c>
      <c r="C26" t="s">
        <v>12</v>
      </c>
      <c r="D26" t="s">
        <v>10</v>
      </c>
      <c r="E26">
        <v>2</v>
      </c>
      <c r="F26">
        <v>19.82</v>
      </c>
      <c r="G26">
        <v>3.18</v>
      </c>
      <c r="I26">
        <f t="shared" si="0"/>
        <v>1</v>
      </c>
      <c r="J26">
        <f t="shared" si="1"/>
        <v>0</v>
      </c>
      <c r="K26">
        <f t="shared" si="2"/>
        <v>3</v>
      </c>
      <c r="L26">
        <f t="shared" si="3"/>
        <v>1</v>
      </c>
      <c r="M26">
        <v>2</v>
      </c>
      <c r="N26">
        <v>19.82</v>
      </c>
      <c r="O26" s="23">
        <v>3.18</v>
      </c>
      <c r="U26" s="2">
        <v>0.67508094538181496</v>
      </c>
      <c r="V26">
        <f>N26*Regression!$B$23</f>
        <v>1.8683029387995178</v>
      </c>
      <c r="W26">
        <f>M26*Regression!$B$22</f>
        <v>0.34992874109401623</v>
      </c>
      <c r="X26">
        <f>I26*Regression!$B$18</f>
        <v>-3.6632514766371221E-2</v>
      </c>
      <c r="Y26">
        <f>J26*Regression!$B$19</f>
        <v>0</v>
      </c>
      <c r="Z26">
        <f>K26*Regression!$B$20</f>
        <v>0.15901591494880721</v>
      </c>
      <c r="AA26">
        <f>L26*Regression!$B$21</f>
        <v>-0.11600626172099011</v>
      </c>
      <c r="AB26" s="25">
        <f t="shared" si="4"/>
        <v>2.8996897637367947</v>
      </c>
    </row>
    <row r="27" spans="1:28" ht="15.5" x14ac:dyDescent="0.35">
      <c r="A27" t="s">
        <v>11</v>
      </c>
      <c r="B27" t="s">
        <v>8</v>
      </c>
      <c r="C27" t="s">
        <v>12</v>
      </c>
      <c r="D27" t="s">
        <v>10</v>
      </c>
      <c r="E27">
        <v>4</v>
      </c>
      <c r="F27">
        <v>17.809999999999999</v>
      </c>
      <c r="G27">
        <v>2.34</v>
      </c>
      <c r="I27">
        <f t="shared" si="0"/>
        <v>1</v>
      </c>
      <c r="J27">
        <f t="shared" si="1"/>
        <v>0</v>
      </c>
      <c r="K27">
        <f t="shared" si="2"/>
        <v>3</v>
      </c>
      <c r="L27">
        <f t="shared" si="3"/>
        <v>1</v>
      </c>
      <c r="M27">
        <v>4</v>
      </c>
      <c r="N27">
        <v>17.809999999999999</v>
      </c>
      <c r="O27" s="23">
        <v>2.34</v>
      </c>
      <c r="U27" s="2">
        <v>0.67508094538181496</v>
      </c>
      <c r="V27">
        <f>N27*Regression!$B$23</f>
        <v>1.6788332663985575</v>
      </c>
      <c r="W27">
        <f>M27*Regression!$B$22</f>
        <v>0.69985748218803245</v>
      </c>
      <c r="X27">
        <f>I27*Regression!$B$18</f>
        <v>-3.6632514766371221E-2</v>
      </c>
      <c r="Y27">
        <f>J27*Regression!$B$19</f>
        <v>0</v>
      </c>
      <c r="Z27">
        <f>K27*Regression!$B$20</f>
        <v>0.15901591494880721</v>
      </c>
      <c r="AA27">
        <f>L27*Regression!$B$21</f>
        <v>-0.11600626172099011</v>
      </c>
      <c r="AB27" s="25">
        <f t="shared" si="4"/>
        <v>3.0601488324298503</v>
      </c>
    </row>
    <row r="28" spans="1:28" ht="15.5" x14ac:dyDescent="0.35">
      <c r="A28" t="s">
        <v>11</v>
      </c>
      <c r="B28" t="s">
        <v>8</v>
      </c>
      <c r="C28" t="s">
        <v>12</v>
      </c>
      <c r="D28" t="s">
        <v>10</v>
      </c>
      <c r="E28">
        <v>2</v>
      </c>
      <c r="F28">
        <v>13.37</v>
      </c>
      <c r="G28">
        <v>2</v>
      </c>
      <c r="I28">
        <f t="shared" si="0"/>
        <v>1</v>
      </c>
      <c r="J28">
        <f t="shared" si="1"/>
        <v>0</v>
      </c>
      <c r="K28">
        <f t="shared" si="2"/>
        <v>3</v>
      </c>
      <c r="L28">
        <f t="shared" si="3"/>
        <v>1</v>
      </c>
      <c r="M28">
        <v>2</v>
      </c>
      <c r="N28">
        <v>13.37</v>
      </c>
      <c r="O28" s="23">
        <v>2</v>
      </c>
      <c r="U28" s="2">
        <v>0.67508094538181496</v>
      </c>
      <c r="V28">
        <f>N28*Regression!$B$23</f>
        <v>1.2603032437815112</v>
      </c>
      <c r="W28">
        <f>M28*Regression!$B$22</f>
        <v>0.34992874109401623</v>
      </c>
      <c r="X28">
        <f>I28*Regression!$B$18</f>
        <v>-3.6632514766371221E-2</v>
      </c>
      <c r="Y28">
        <f>J28*Regression!$B$19</f>
        <v>0</v>
      </c>
      <c r="Z28">
        <f>K28*Regression!$B$20</f>
        <v>0.15901591494880721</v>
      </c>
      <c r="AA28">
        <f>L28*Regression!$B$21</f>
        <v>-0.11600626172099011</v>
      </c>
      <c r="AB28" s="25">
        <f t="shared" si="4"/>
        <v>2.291690068718788</v>
      </c>
    </row>
    <row r="29" spans="1:28" ht="15.5" x14ac:dyDescent="0.35">
      <c r="A29" t="s">
        <v>11</v>
      </c>
      <c r="B29" t="s">
        <v>8</v>
      </c>
      <c r="C29" t="s">
        <v>12</v>
      </c>
      <c r="D29" t="s">
        <v>10</v>
      </c>
      <c r="E29">
        <v>2</v>
      </c>
      <c r="F29">
        <v>12.69</v>
      </c>
      <c r="G29">
        <v>2</v>
      </c>
      <c r="I29">
        <f t="shared" si="0"/>
        <v>1</v>
      </c>
      <c r="J29">
        <f t="shared" si="1"/>
        <v>0</v>
      </c>
      <c r="K29">
        <f t="shared" si="2"/>
        <v>3</v>
      </c>
      <c r="L29">
        <f t="shared" si="3"/>
        <v>1</v>
      </c>
      <c r="M29">
        <v>2</v>
      </c>
      <c r="N29">
        <v>12.69</v>
      </c>
      <c r="O29" s="23">
        <v>2</v>
      </c>
      <c r="U29" s="2">
        <v>0.67508094538181496</v>
      </c>
      <c r="V29">
        <f>N29*Regression!$B$23</f>
        <v>1.1962040511284502</v>
      </c>
      <c r="W29">
        <f>M29*Regression!$B$22</f>
        <v>0.34992874109401623</v>
      </c>
      <c r="X29">
        <f>I29*Regression!$B$18</f>
        <v>-3.6632514766371221E-2</v>
      </c>
      <c r="Y29">
        <f>J29*Regression!$B$19</f>
        <v>0</v>
      </c>
      <c r="Z29">
        <f>K29*Regression!$B$20</f>
        <v>0.15901591494880721</v>
      </c>
      <c r="AA29">
        <f>L29*Regression!$B$21</f>
        <v>-0.11600626172099011</v>
      </c>
      <c r="AB29" s="25">
        <f t="shared" si="4"/>
        <v>2.2275908760657268</v>
      </c>
    </row>
    <row r="30" spans="1:28" ht="15.5" x14ac:dyDescent="0.35">
      <c r="A30" t="s">
        <v>11</v>
      </c>
      <c r="B30" t="s">
        <v>8</v>
      </c>
      <c r="C30" t="s">
        <v>12</v>
      </c>
      <c r="D30" t="s">
        <v>10</v>
      </c>
      <c r="E30">
        <v>2</v>
      </c>
      <c r="F30">
        <v>21.7</v>
      </c>
      <c r="G30">
        <v>4.3</v>
      </c>
      <c r="I30">
        <f t="shared" si="0"/>
        <v>1</v>
      </c>
      <c r="J30">
        <f t="shared" si="1"/>
        <v>0</v>
      </c>
      <c r="K30">
        <f t="shared" si="2"/>
        <v>3</v>
      </c>
      <c r="L30">
        <f t="shared" si="3"/>
        <v>1</v>
      </c>
      <c r="M30">
        <v>2</v>
      </c>
      <c r="N30">
        <v>21.7</v>
      </c>
      <c r="O30" s="23">
        <v>4.3</v>
      </c>
      <c r="U30" s="2">
        <v>0.67508094538181496</v>
      </c>
      <c r="V30">
        <f>N30*Regression!$B$23</f>
        <v>2.0455183537815103</v>
      </c>
      <c r="W30">
        <f>M30*Regression!$B$22</f>
        <v>0.34992874109401623</v>
      </c>
      <c r="X30">
        <f>I30*Regression!$B$18</f>
        <v>-3.6632514766371221E-2</v>
      </c>
      <c r="Y30">
        <f>J30*Regression!$B$19</f>
        <v>0</v>
      </c>
      <c r="Z30">
        <f>K30*Regression!$B$20</f>
        <v>0.15901591494880721</v>
      </c>
      <c r="AA30">
        <f>L30*Regression!$B$21</f>
        <v>-0.11600626172099011</v>
      </c>
      <c r="AB30" s="25">
        <f t="shared" si="4"/>
        <v>3.0769051787187869</v>
      </c>
    </row>
    <row r="31" spans="1:28" ht="15.5" x14ac:dyDescent="0.35">
      <c r="A31" t="s">
        <v>7</v>
      </c>
      <c r="B31" t="s">
        <v>8</v>
      </c>
      <c r="C31" t="s">
        <v>12</v>
      </c>
      <c r="D31" t="s">
        <v>10</v>
      </c>
      <c r="E31">
        <v>2</v>
      </c>
      <c r="F31">
        <v>19.649999999999999</v>
      </c>
      <c r="G31">
        <v>3</v>
      </c>
      <c r="I31">
        <f t="shared" si="0"/>
        <v>0</v>
      </c>
      <c r="J31">
        <f t="shared" si="1"/>
        <v>0</v>
      </c>
      <c r="K31">
        <f t="shared" si="2"/>
        <v>3</v>
      </c>
      <c r="L31">
        <f t="shared" si="3"/>
        <v>1</v>
      </c>
      <c r="M31">
        <v>2</v>
      </c>
      <c r="N31">
        <v>19.649999999999999</v>
      </c>
      <c r="O31" s="23">
        <v>3</v>
      </c>
      <c r="U31" s="2">
        <v>0.67508094538181496</v>
      </c>
      <c r="V31">
        <f>N31*Regression!$B$23</f>
        <v>1.8522781406362525</v>
      </c>
      <c r="W31">
        <f>M31*Regression!$B$22</f>
        <v>0.34992874109401623</v>
      </c>
      <c r="X31">
        <f>I31*Regression!$B$18</f>
        <v>0</v>
      </c>
      <c r="Y31">
        <f>J31*Regression!$B$19</f>
        <v>0</v>
      </c>
      <c r="Z31">
        <f>K31*Regression!$B$20</f>
        <v>0.15901591494880721</v>
      </c>
      <c r="AA31">
        <f>L31*Regression!$B$21</f>
        <v>-0.11600626172099011</v>
      </c>
      <c r="AB31" s="25">
        <f t="shared" si="4"/>
        <v>2.9202974803399004</v>
      </c>
    </row>
    <row r="32" spans="1:28" ht="15.5" x14ac:dyDescent="0.35">
      <c r="A32" t="s">
        <v>11</v>
      </c>
      <c r="B32" t="s">
        <v>8</v>
      </c>
      <c r="C32" t="s">
        <v>12</v>
      </c>
      <c r="D32" t="s">
        <v>10</v>
      </c>
      <c r="E32">
        <v>2</v>
      </c>
      <c r="F32">
        <v>9.5500000000000007</v>
      </c>
      <c r="G32">
        <v>1.45</v>
      </c>
      <c r="I32">
        <f t="shared" si="0"/>
        <v>1</v>
      </c>
      <c r="J32">
        <f t="shared" si="1"/>
        <v>0</v>
      </c>
      <c r="K32">
        <f t="shared" si="2"/>
        <v>3</v>
      </c>
      <c r="L32">
        <f t="shared" si="3"/>
        <v>1</v>
      </c>
      <c r="M32">
        <v>2</v>
      </c>
      <c r="N32">
        <v>9.5500000000000007</v>
      </c>
      <c r="O32" s="23">
        <v>1.45</v>
      </c>
      <c r="U32" s="2">
        <v>0.67508094538181496</v>
      </c>
      <c r="V32">
        <f>N32*Regression!$B$23</f>
        <v>0.9002166027010795</v>
      </c>
      <c r="W32">
        <f>M32*Regression!$B$22</f>
        <v>0.34992874109401623</v>
      </c>
      <c r="X32">
        <f>I32*Regression!$B$18</f>
        <v>-3.6632514766371221E-2</v>
      </c>
      <c r="Y32">
        <f>J32*Regression!$B$19</f>
        <v>0</v>
      </c>
      <c r="Z32">
        <f>K32*Regression!$B$20</f>
        <v>0.15901591494880721</v>
      </c>
      <c r="AA32">
        <f>L32*Regression!$B$21</f>
        <v>-0.11600626172099011</v>
      </c>
      <c r="AB32" s="25">
        <f t="shared" si="4"/>
        <v>1.9316034276383565</v>
      </c>
    </row>
    <row r="33" spans="1:28" ht="15.5" x14ac:dyDescent="0.35">
      <c r="A33" t="s">
        <v>11</v>
      </c>
      <c r="B33" t="s">
        <v>8</v>
      </c>
      <c r="C33" t="s">
        <v>12</v>
      </c>
      <c r="D33" t="s">
        <v>10</v>
      </c>
      <c r="E33">
        <v>4</v>
      </c>
      <c r="F33">
        <v>18.350000000000001</v>
      </c>
      <c r="G33">
        <v>2.5</v>
      </c>
      <c r="I33">
        <f t="shared" si="0"/>
        <v>1</v>
      </c>
      <c r="J33">
        <f t="shared" si="1"/>
        <v>0</v>
      </c>
      <c r="K33">
        <f t="shared" si="2"/>
        <v>3</v>
      </c>
      <c r="L33">
        <f t="shared" si="3"/>
        <v>1</v>
      </c>
      <c r="M33">
        <v>4</v>
      </c>
      <c r="N33">
        <v>18.350000000000001</v>
      </c>
      <c r="O33" s="23">
        <v>2.5</v>
      </c>
      <c r="U33" s="2">
        <v>0.67508094538181496</v>
      </c>
      <c r="V33">
        <f>N33*Regression!$B$23</f>
        <v>1.729735566446577</v>
      </c>
      <c r="W33">
        <f>M33*Regression!$B$22</f>
        <v>0.69985748218803245</v>
      </c>
      <c r="X33">
        <f>I33*Regression!$B$18</f>
        <v>-3.6632514766371221E-2</v>
      </c>
      <c r="Y33">
        <f>J33*Regression!$B$19</f>
        <v>0</v>
      </c>
      <c r="Z33">
        <f>K33*Regression!$B$20</f>
        <v>0.15901591494880721</v>
      </c>
      <c r="AA33">
        <f>L33*Regression!$B$21</f>
        <v>-0.11600626172099011</v>
      </c>
      <c r="AB33" s="25">
        <f t="shared" si="4"/>
        <v>3.1110511324778698</v>
      </c>
    </row>
    <row r="34" spans="1:28" ht="15.5" x14ac:dyDescent="0.35">
      <c r="A34" t="s">
        <v>7</v>
      </c>
      <c r="B34" t="s">
        <v>8</v>
      </c>
      <c r="C34" t="s">
        <v>12</v>
      </c>
      <c r="D34" t="s">
        <v>10</v>
      </c>
      <c r="E34">
        <v>2</v>
      </c>
      <c r="F34">
        <v>15.06</v>
      </c>
      <c r="G34">
        <v>3</v>
      </c>
      <c r="I34">
        <f t="shared" si="0"/>
        <v>0</v>
      </c>
      <c r="J34">
        <f t="shared" si="1"/>
        <v>0</v>
      </c>
      <c r="K34">
        <f t="shared" si="2"/>
        <v>3</v>
      </c>
      <c r="L34">
        <f t="shared" si="3"/>
        <v>1</v>
      </c>
      <c r="M34">
        <v>2</v>
      </c>
      <c r="N34">
        <v>15.06</v>
      </c>
      <c r="O34" s="23">
        <v>3</v>
      </c>
      <c r="U34" s="2">
        <v>0.67508094538181496</v>
      </c>
      <c r="V34">
        <f>N34*Regression!$B$23</f>
        <v>1.4196085902280897</v>
      </c>
      <c r="W34">
        <f>M34*Regression!$B$22</f>
        <v>0.34992874109401623</v>
      </c>
      <c r="X34">
        <f>I34*Regression!$B$18</f>
        <v>0</v>
      </c>
      <c r="Y34">
        <f>J34*Regression!$B$19</f>
        <v>0</v>
      </c>
      <c r="Z34">
        <f>K34*Regression!$B$20</f>
        <v>0.15901591494880721</v>
      </c>
      <c r="AA34">
        <f>L34*Regression!$B$21</f>
        <v>-0.11600626172099011</v>
      </c>
      <c r="AB34" s="25">
        <f t="shared" si="4"/>
        <v>2.4876279299317376</v>
      </c>
    </row>
    <row r="35" spans="1:28" ht="15.5" x14ac:dyDescent="0.35">
      <c r="A35" t="s">
        <v>7</v>
      </c>
      <c r="B35" t="s">
        <v>8</v>
      </c>
      <c r="C35" t="s">
        <v>12</v>
      </c>
      <c r="D35" t="s">
        <v>10</v>
      </c>
      <c r="E35">
        <v>4</v>
      </c>
      <c r="F35">
        <v>20.69</v>
      </c>
      <c r="G35">
        <v>2.4500000000000002</v>
      </c>
      <c r="I35">
        <f t="shared" si="0"/>
        <v>0</v>
      </c>
      <c r="J35">
        <f t="shared" si="1"/>
        <v>0</v>
      </c>
      <c r="K35">
        <f t="shared" si="2"/>
        <v>3</v>
      </c>
      <c r="L35">
        <f t="shared" si="3"/>
        <v>1</v>
      </c>
      <c r="M35">
        <v>4</v>
      </c>
      <c r="N35">
        <v>20.69</v>
      </c>
      <c r="O35" s="23">
        <v>2.4500000000000002</v>
      </c>
      <c r="U35" s="2">
        <v>0.67508094538181496</v>
      </c>
      <c r="V35">
        <f>N35*Regression!$B$23</f>
        <v>1.9503121999879933</v>
      </c>
      <c r="W35">
        <f>M35*Regression!$B$22</f>
        <v>0.69985748218803245</v>
      </c>
      <c r="X35">
        <f>I35*Regression!$B$18</f>
        <v>0</v>
      </c>
      <c r="Y35">
        <f>J35*Regression!$B$19</f>
        <v>0</v>
      </c>
      <c r="Z35">
        <f>K35*Regression!$B$20</f>
        <v>0.15901591494880721</v>
      </c>
      <c r="AA35">
        <f>L35*Regression!$B$21</f>
        <v>-0.11600626172099011</v>
      </c>
      <c r="AB35" s="25">
        <f t="shared" si="4"/>
        <v>3.3682602807856576</v>
      </c>
    </row>
    <row r="36" spans="1:28" ht="15.5" x14ac:dyDescent="0.35">
      <c r="A36" t="s">
        <v>11</v>
      </c>
      <c r="B36" t="s">
        <v>8</v>
      </c>
      <c r="C36" t="s">
        <v>12</v>
      </c>
      <c r="D36" t="s">
        <v>10</v>
      </c>
      <c r="E36">
        <v>2</v>
      </c>
      <c r="F36">
        <v>17.78</v>
      </c>
      <c r="G36">
        <v>3.27</v>
      </c>
      <c r="I36">
        <f t="shared" si="0"/>
        <v>1</v>
      </c>
      <c r="J36">
        <f t="shared" si="1"/>
        <v>0</v>
      </c>
      <c r="K36">
        <f t="shared" si="2"/>
        <v>3</v>
      </c>
      <c r="L36">
        <f t="shared" si="3"/>
        <v>1</v>
      </c>
      <c r="M36">
        <v>2</v>
      </c>
      <c r="N36">
        <v>17.78</v>
      </c>
      <c r="O36" s="23">
        <v>3.27</v>
      </c>
      <c r="U36" s="2">
        <v>0.67508094538181496</v>
      </c>
      <c r="V36">
        <f>N36*Regression!$B$23</f>
        <v>1.6760053608403345</v>
      </c>
      <c r="W36">
        <f>M36*Regression!$B$22</f>
        <v>0.34992874109401623</v>
      </c>
      <c r="X36">
        <f>I36*Regression!$B$18</f>
        <v>-3.6632514766371221E-2</v>
      </c>
      <c r="Y36">
        <f>J36*Regression!$B$19</f>
        <v>0</v>
      </c>
      <c r="Z36">
        <f>K36*Regression!$B$20</f>
        <v>0.15901591494880721</v>
      </c>
      <c r="AA36">
        <f>L36*Regression!$B$21</f>
        <v>-0.11600626172099011</v>
      </c>
      <c r="AB36" s="25">
        <f t="shared" si="4"/>
        <v>2.7073921857776111</v>
      </c>
    </row>
    <row r="37" spans="1:28" ht="15.5" x14ac:dyDescent="0.35">
      <c r="A37" t="s">
        <v>11</v>
      </c>
      <c r="B37" t="s">
        <v>8</v>
      </c>
      <c r="C37" t="s">
        <v>12</v>
      </c>
      <c r="D37" t="s">
        <v>10</v>
      </c>
      <c r="E37">
        <v>3</v>
      </c>
      <c r="F37">
        <v>24.06</v>
      </c>
      <c r="G37">
        <v>3.6</v>
      </c>
      <c r="I37">
        <f t="shared" si="0"/>
        <v>1</v>
      </c>
      <c r="J37">
        <f t="shared" si="1"/>
        <v>0</v>
      </c>
      <c r="K37">
        <f t="shared" si="2"/>
        <v>3</v>
      </c>
      <c r="L37">
        <f t="shared" si="3"/>
        <v>1</v>
      </c>
      <c r="M37">
        <v>3</v>
      </c>
      <c r="N37">
        <v>24.06</v>
      </c>
      <c r="O37" s="23">
        <v>3.6</v>
      </c>
      <c r="U37" s="2">
        <v>0.67508094538181496</v>
      </c>
      <c r="V37">
        <f>N37*Regression!$B$23</f>
        <v>2.2679802576950756</v>
      </c>
      <c r="W37">
        <f>M37*Regression!$B$22</f>
        <v>0.52489311164102437</v>
      </c>
      <c r="X37">
        <f>I37*Regression!$B$18</f>
        <v>-3.6632514766371221E-2</v>
      </c>
      <c r="Y37">
        <f>J37*Regression!$B$19</f>
        <v>0</v>
      </c>
      <c r="Z37">
        <f>K37*Regression!$B$20</f>
        <v>0.15901591494880721</v>
      </c>
      <c r="AA37">
        <f>L37*Regression!$B$21</f>
        <v>-0.11600626172099011</v>
      </c>
      <c r="AB37" s="25">
        <f t="shared" si="4"/>
        <v>3.4743314531793605</v>
      </c>
    </row>
    <row r="38" spans="1:28" ht="15.5" x14ac:dyDescent="0.35">
      <c r="A38" t="s">
        <v>11</v>
      </c>
      <c r="B38" t="s">
        <v>8</v>
      </c>
      <c r="C38" t="s">
        <v>12</v>
      </c>
      <c r="D38" t="s">
        <v>10</v>
      </c>
      <c r="E38">
        <v>3</v>
      </c>
      <c r="F38">
        <v>16.309999999999999</v>
      </c>
      <c r="G38">
        <v>2</v>
      </c>
      <c r="I38">
        <f t="shared" si="0"/>
        <v>1</v>
      </c>
      <c r="J38">
        <f t="shared" si="1"/>
        <v>0</v>
      </c>
      <c r="K38">
        <f t="shared" si="2"/>
        <v>3</v>
      </c>
      <c r="L38">
        <f t="shared" si="3"/>
        <v>1</v>
      </c>
      <c r="M38">
        <v>3</v>
      </c>
      <c r="N38">
        <v>16.309999999999999</v>
      </c>
      <c r="O38" s="23">
        <v>2</v>
      </c>
      <c r="U38" s="2">
        <v>0.67508094538181496</v>
      </c>
      <c r="V38">
        <f>N38*Regression!$B$23</f>
        <v>1.5374379884873932</v>
      </c>
      <c r="W38">
        <f>M38*Regression!$B$22</f>
        <v>0.52489311164102437</v>
      </c>
      <c r="X38">
        <f>I38*Regression!$B$18</f>
        <v>-3.6632514766371221E-2</v>
      </c>
      <c r="Y38">
        <f>J38*Regression!$B$19</f>
        <v>0</v>
      </c>
      <c r="Z38">
        <f>K38*Regression!$B$20</f>
        <v>0.15901591494880721</v>
      </c>
      <c r="AA38">
        <f>L38*Regression!$B$21</f>
        <v>-0.11600626172099011</v>
      </c>
      <c r="AB38" s="25">
        <f t="shared" si="4"/>
        <v>2.7437891839716779</v>
      </c>
    </row>
    <row r="39" spans="1:28" ht="15.5" x14ac:dyDescent="0.35">
      <c r="A39" t="s">
        <v>7</v>
      </c>
      <c r="B39" t="s">
        <v>8</v>
      </c>
      <c r="C39" t="s">
        <v>12</v>
      </c>
      <c r="D39" t="s">
        <v>10</v>
      </c>
      <c r="E39">
        <v>3</v>
      </c>
      <c r="F39">
        <v>16.93</v>
      </c>
      <c r="G39">
        <v>3.07</v>
      </c>
      <c r="I39">
        <f t="shared" si="0"/>
        <v>0</v>
      </c>
      <c r="J39">
        <f t="shared" si="1"/>
        <v>0</v>
      </c>
      <c r="K39">
        <f t="shared" si="2"/>
        <v>3</v>
      </c>
      <c r="L39">
        <f t="shared" si="3"/>
        <v>1</v>
      </c>
      <c r="M39">
        <v>3</v>
      </c>
      <c r="N39">
        <v>16.93</v>
      </c>
      <c r="O39" s="23">
        <v>3.07</v>
      </c>
      <c r="U39" s="2">
        <v>0.67508094538181496</v>
      </c>
      <c r="V39">
        <f>N39*Regression!$B$23</f>
        <v>1.595881370024008</v>
      </c>
      <c r="W39">
        <f>M39*Regression!$B$22</f>
        <v>0.52489311164102437</v>
      </c>
      <c r="X39">
        <f>I39*Regression!$B$18</f>
        <v>0</v>
      </c>
      <c r="Y39">
        <f>J39*Regression!$B$19</f>
        <v>0</v>
      </c>
      <c r="Z39">
        <f>K39*Regression!$B$20</f>
        <v>0.15901591494880721</v>
      </c>
      <c r="AA39">
        <f>L39*Regression!$B$21</f>
        <v>-0.11600626172099011</v>
      </c>
      <c r="AB39" s="25">
        <f t="shared" si="4"/>
        <v>2.8388650802746644</v>
      </c>
    </row>
    <row r="40" spans="1:28" ht="15.5" x14ac:dyDescent="0.35">
      <c r="A40" t="s">
        <v>11</v>
      </c>
      <c r="B40" t="s">
        <v>8</v>
      </c>
      <c r="C40" t="s">
        <v>12</v>
      </c>
      <c r="D40" t="s">
        <v>10</v>
      </c>
      <c r="E40">
        <v>3</v>
      </c>
      <c r="F40">
        <v>18.690000000000001</v>
      </c>
      <c r="G40">
        <v>2.31</v>
      </c>
      <c r="I40">
        <f t="shared" si="0"/>
        <v>1</v>
      </c>
      <c r="J40">
        <f t="shared" si="1"/>
        <v>0</v>
      </c>
      <c r="K40">
        <f t="shared" si="2"/>
        <v>3</v>
      </c>
      <c r="L40">
        <f t="shared" si="3"/>
        <v>1</v>
      </c>
      <c r="M40">
        <v>3</v>
      </c>
      <c r="N40">
        <v>18.690000000000001</v>
      </c>
      <c r="O40" s="23">
        <v>2.31</v>
      </c>
      <c r="U40" s="2">
        <v>0.67508094538181496</v>
      </c>
      <c r="V40">
        <f>N40*Regression!$B$23</f>
        <v>1.7617851627731076</v>
      </c>
      <c r="W40">
        <f>M40*Regression!$B$22</f>
        <v>0.52489311164102437</v>
      </c>
      <c r="X40">
        <f>I40*Regression!$B$18</f>
        <v>-3.6632514766371221E-2</v>
      </c>
      <c r="Y40">
        <f>J40*Regression!$B$19</f>
        <v>0</v>
      </c>
      <c r="Z40">
        <f>K40*Regression!$B$20</f>
        <v>0.15901591494880721</v>
      </c>
      <c r="AA40">
        <f>L40*Regression!$B$21</f>
        <v>-0.11600626172099011</v>
      </c>
      <c r="AB40" s="25">
        <f t="shared" si="4"/>
        <v>2.9681363582573925</v>
      </c>
    </row>
    <row r="41" spans="1:28" ht="15.5" x14ac:dyDescent="0.35">
      <c r="A41" t="s">
        <v>11</v>
      </c>
      <c r="B41" t="s">
        <v>8</v>
      </c>
      <c r="C41" t="s">
        <v>12</v>
      </c>
      <c r="D41" t="s">
        <v>10</v>
      </c>
      <c r="E41">
        <v>3</v>
      </c>
      <c r="F41">
        <v>31.27</v>
      </c>
      <c r="G41">
        <v>5</v>
      </c>
      <c r="I41">
        <f t="shared" si="0"/>
        <v>1</v>
      </c>
      <c r="J41">
        <f t="shared" si="1"/>
        <v>0</v>
      </c>
      <c r="K41">
        <f t="shared" si="2"/>
        <v>3</v>
      </c>
      <c r="L41">
        <f t="shared" si="3"/>
        <v>1</v>
      </c>
      <c r="M41">
        <v>3</v>
      </c>
      <c r="N41">
        <v>31.27</v>
      </c>
      <c r="O41" s="23">
        <v>5</v>
      </c>
      <c r="U41" s="2">
        <v>0.67508094538181496</v>
      </c>
      <c r="V41">
        <f>N41*Regression!$B$23</f>
        <v>2.9476202268547387</v>
      </c>
      <c r="W41">
        <f>M41*Regression!$B$22</f>
        <v>0.52489311164102437</v>
      </c>
      <c r="X41">
        <f>I41*Regression!$B$18</f>
        <v>-3.6632514766371221E-2</v>
      </c>
      <c r="Y41">
        <f>J41*Regression!$B$19</f>
        <v>0</v>
      </c>
      <c r="Z41">
        <f>K41*Regression!$B$20</f>
        <v>0.15901591494880721</v>
      </c>
      <c r="AA41">
        <f>L41*Regression!$B$21</f>
        <v>-0.11600626172099011</v>
      </c>
      <c r="AB41" s="25">
        <f t="shared" si="4"/>
        <v>4.1539714223390245</v>
      </c>
    </row>
    <row r="42" spans="1:28" ht="15.5" x14ac:dyDescent="0.35">
      <c r="A42" t="s">
        <v>11</v>
      </c>
      <c r="B42" t="s">
        <v>8</v>
      </c>
      <c r="C42" t="s">
        <v>12</v>
      </c>
      <c r="D42" t="s">
        <v>10</v>
      </c>
      <c r="E42">
        <v>3</v>
      </c>
      <c r="F42">
        <v>16.04</v>
      </c>
      <c r="G42">
        <v>2.2400000000000002</v>
      </c>
      <c r="I42">
        <f t="shared" si="0"/>
        <v>1</v>
      </c>
      <c r="J42">
        <f t="shared" si="1"/>
        <v>0</v>
      </c>
      <c r="K42">
        <f t="shared" si="2"/>
        <v>3</v>
      </c>
      <c r="L42">
        <f t="shared" si="3"/>
        <v>1</v>
      </c>
      <c r="M42">
        <v>3</v>
      </c>
      <c r="N42">
        <v>16.04</v>
      </c>
      <c r="O42" s="23">
        <v>2.2400000000000002</v>
      </c>
      <c r="U42" s="2">
        <v>0.67508094538181496</v>
      </c>
      <c r="V42">
        <f>N42*Regression!$B$23</f>
        <v>1.5119868384633837</v>
      </c>
      <c r="W42">
        <f>M42*Regression!$B$22</f>
        <v>0.52489311164102437</v>
      </c>
      <c r="X42">
        <f>I42*Regression!$B$18</f>
        <v>-3.6632514766371221E-2</v>
      </c>
      <c r="Y42">
        <f>J42*Regression!$B$19</f>
        <v>0</v>
      </c>
      <c r="Z42">
        <f>K42*Regression!$B$20</f>
        <v>0.15901591494880721</v>
      </c>
      <c r="AA42">
        <f>L42*Regression!$B$21</f>
        <v>-0.11600626172099011</v>
      </c>
      <c r="AB42" s="25">
        <f t="shared" si="4"/>
        <v>2.7183380339476684</v>
      </c>
    </row>
    <row r="43" spans="1:28" ht="15.5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  <c r="I43">
        <f t="shared" si="0"/>
        <v>1</v>
      </c>
      <c r="J43">
        <f t="shared" si="1"/>
        <v>0</v>
      </c>
      <c r="K43">
        <f t="shared" si="2"/>
        <v>4</v>
      </c>
      <c r="L43">
        <f t="shared" si="3"/>
        <v>1</v>
      </c>
      <c r="M43">
        <v>2</v>
      </c>
      <c r="N43">
        <v>17.46</v>
      </c>
      <c r="O43" s="23">
        <v>2.54</v>
      </c>
      <c r="U43" s="2">
        <v>0.67508094538181496</v>
      </c>
      <c r="V43">
        <f>N43*Regression!$B$23</f>
        <v>1.6458410348859527</v>
      </c>
      <c r="W43">
        <f>M43*Regression!$B$22</f>
        <v>0.34992874109401623</v>
      </c>
      <c r="X43">
        <f>I43*Regression!$B$18</f>
        <v>-3.6632514766371221E-2</v>
      </c>
      <c r="Y43">
        <f>J43*Regression!$B$19</f>
        <v>0</v>
      </c>
      <c r="Z43">
        <f>K43*Regression!$B$20</f>
        <v>0.21202121993174294</v>
      </c>
      <c r="AA43">
        <f>L43*Regression!$B$21</f>
        <v>-0.11600626172099011</v>
      </c>
      <c r="AB43" s="25">
        <f t="shared" si="4"/>
        <v>2.7302331648061653</v>
      </c>
    </row>
    <row r="44" spans="1:28" ht="15.5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  <c r="I44">
        <f t="shared" si="0"/>
        <v>1</v>
      </c>
      <c r="J44">
        <f t="shared" si="1"/>
        <v>0</v>
      </c>
      <c r="K44">
        <f t="shared" si="2"/>
        <v>4</v>
      </c>
      <c r="L44">
        <f t="shared" si="3"/>
        <v>1</v>
      </c>
      <c r="M44">
        <v>2</v>
      </c>
      <c r="N44">
        <v>13.94</v>
      </c>
      <c r="O44" s="23">
        <v>3.06</v>
      </c>
      <c r="U44" s="2">
        <v>0.67508094538181496</v>
      </c>
      <c r="V44">
        <f>N44*Regression!$B$23</f>
        <v>1.3140334493877537</v>
      </c>
      <c r="W44">
        <f>M44*Regression!$B$22</f>
        <v>0.34992874109401623</v>
      </c>
      <c r="X44">
        <f>I44*Regression!$B$18</f>
        <v>-3.6632514766371221E-2</v>
      </c>
      <c r="Y44">
        <f>J44*Regression!$B$19</f>
        <v>0</v>
      </c>
      <c r="Z44">
        <f>K44*Regression!$B$20</f>
        <v>0.21202121993174294</v>
      </c>
      <c r="AA44">
        <f>L44*Regression!$B$21</f>
        <v>-0.11600626172099011</v>
      </c>
      <c r="AB44" s="25">
        <f t="shared" si="4"/>
        <v>2.3984255793079665</v>
      </c>
    </row>
    <row r="45" spans="1:28" ht="15.5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  <c r="I45">
        <f t="shared" si="0"/>
        <v>1</v>
      </c>
      <c r="J45">
        <f t="shared" si="1"/>
        <v>0</v>
      </c>
      <c r="K45">
        <f t="shared" si="2"/>
        <v>4</v>
      </c>
      <c r="L45">
        <f t="shared" si="3"/>
        <v>1</v>
      </c>
      <c r="M45">
        <v>2</v>
      </c>
      <c r="N45">
        <v>9.68</v>
      </c>
      <c r="O45" s="23">
        <v>1.32</v>
      </c>
      <c r="U45" s="2">
        <v>0.67508094538181496</v>
      </c>
      <c r="V45">
        <f>N45*Regression!$B$23</f>
        <v>0.91247086012004708</v>
      </c>
      <c r="W45">
        <f>M45*Regression!$B$22</f>
        <v>0.34992874109401623</v>
      </c>
      <c r="X45">
        <f>I45*Regression!$B$18</f>
        <v>-3.6632514766371221E-2</v>
      </c>
      <c r="Y45">
        <f>J45*Regression!$B$19</f>
        <v>0</v>
      </c>
      <c r="Z45">
        <f>K45*Regression!$B$20</f>
        <v>0.21202121993174294</v>
      </c>
      <c r="AA45">
        <f>L45*Regression!$B$21</f>
        <v>-0.11600626172099011</v>
      </c>
      <c r="AB45" s="25">
        <f t="shared" si="4"/>
        <v>1.9968629900402599</v>
      </c>
    </row>
    <row r="46" spans="1:28" ht="15.5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  <c r="I46">
        <f t="shared" si="0"/>
        <v>1</v>
      </c>
      <c r="J46">
        <f t="shared" si="1"/>
        <v>0</v>
      </c>
      <c r="K46">
        <f t="shared" si="2"/>
        <v>4</v>
      </c>
      <c r="L46">
        <f t="shared" si="3"/>
        <v>1</v>
      </c>
      <c r="M46">
        <v>4</v>
      </c>
      <c r="N46">
        <v>30.4</v>
      </c>
      <c r="O46" s="23">
        <v>5.6</v>
      </c>
      <c r="U46" s="2">
        <v>0.67508094538181496</v>
      </c>
      <c r="V46">
        <f>N46*Regression!$B$23</f>
        <v>2.8656109656662632</v>
      </c>
      <c r="W46">
        <f>M46*Regression!$B$22</f>
        <v>0.69985748218803245</v>
      </c>
      <c r="X46">
        <f>I46*Regression!$B$18</f>
        <v>-3.6632514766371221E-2</v>
      </c>
      <c r="Y46">
        <f>J46*Regression!$B$19</f>
        <v>0</v>
      </c>
      <c r="Z46">
        <f>K46*Regression!$B$20</f>
        <v>0.21202121993174294</v>
      </c>
      <c r="AA46">
        <f>L46*Regression!$B$21</f>
        <v>-0.11600626172099011</v>
      </c>
      <c r="AB46" s="25">
        <f t="shared" si="4"/>
        <v>4.2999318366804928</v>
      </c>
    </row>
    <row r="47" spans="1:28" ht="15.5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  <c r="I47">
        <f t="shared" si="0"/>
        <v>1</v>
      </c>
      <c r="J47">
        <f t="shared" si="1"/>
        <v>0</v>
      </c>
      <c r="K47">
        <f t="shared" si="2"/>
        <v>4</v>
      </c>
      <c r="L47">
        <f t="shared" si="3"/>
        <v>1</v>
      </c>
      <c r="M47">
        <v>2</v>
      </c>
      <c r="N47">
        <v>18.29</v>
      </c>
      <c r="O47" s="23">
        <v>3</v>
      </c>
      <c r="U47" s="2">
        <v>0.67508094538181496</v>
      </c>
      <c r="V47">
        <f>N47*Regression!$B$23</f>
        <v>1.7240797553301301</v>
      </c>
      <c r="W47">
        <f>M47*Regression!$B$22</f>
        <v>0.34992874109401623</v>
      </c>
      <c r="X47">
        <f>I47*Regression!$B$18</f>
        <v>-3.6632514766371221E-2</v>
      </c>
      <c r="Y47">
        <f>J47*Regression!$B$19</f>
        <v>0</v>
      </c>
      <c r="Z47">
        <f>K47*Regression!$B$20</f>
        <v>0.21202121993174294</v>
      </c>
      <c r="AA47">
        <f>L47*Regression!$B$21</f>
        <v>-0.11600626172099011</v>
      </c>
      <c r="AB47" s="25">
        <f t="shared" si="4"/>
        <v>2.8084718852503427</v>
      </c>
    </row>
    <row r="48" spans="1:28" ht="15.5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  <c r="I48">
        <f t="shared" si="0"/>
        <v>1</v>
      </c>
      <c r="J48">
        <f t="shared" si="1"/>
        <v>0</v>
      </c>
      <c r="K48">
        <f t="shared" si="2"/>
        <v>4</v>
      </c>
      <c r="L48">
        <f t="shared" si="3"/>
        <v>1</v>
      </c>
      <c r="M48">
        <v>2</v>
      </c>
      <c r="N48">
        <v>22.23</v>
      </c>
      <c r="O48" s="23">
        <v>5</v>
      </c>
      <c r="U48" s="2">
        <v>0.67508094538181496</v>
      </c>
      <c r="V48">
        <f>N48*Regression!$B$23</f>
        <v>2.0954780186434552</v>
      </c>
      <c r="W48">
        <f>M48*Regression!$B$22</f>
        <v>0.34992874109401623</v>
      </c>
      <c r="X48">
        <f>I48*Regression!$B$18</f>
        <v>-3.6632514766371221E-2</v>
      </c>
      <c r="Y48">
        <f>J48*Regression!$B$19</f>
        <v>0</v>
      </c>
      <c r="Z48">
        <f>K48*Regression!$B$20</f>
        <v>0.21202121993174294</v>
      </c>
      <c r="AA48">
        <f>L48*Regression!$B$21</f>
        <v>-0.11600626172099011</v>
      </c>
      <c r="AB48" s="25">
        <f t="shared" si="4"/>
        <v>3.1798701485636678</v>
      </c>
    </row>
    <row r="49" spans="1:28" ht="15.5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  <c r="I49">
        <f t="shared" si="0"/>
        <v>1</v>
      </c>
      <c r="J49">
        <f t="shared" si="1"/>
        <v>0</v>
      </c>
      <c r="K49">
        <f t="shared" si="2"/>
        <v>4</v>
      </c>
      <c r="L49">
        <f t="shared" si="3"/>
        <v>1</v>
      </c>
      <c r="M49">
        <v>4</v>
      </c>
      <c r="N49">
        <v>32.4</v>
      </c>
      <c r="O49" s="23">
        <v>6</v>
      </c>
      <c r="U49" s="2">
        <v>0.67508094538181496</v>
      </c>
      <c r="V49">
        <f>N49*Regression!$B$23</f>
        <v>3.0541380028811491</v>
      </c>
      <c r="W49">
        <f>M49*Regression!$B$22</f>
        <v>0.69985748218803245</v>
      </c>
      <c r="X49">
        <f>I49*Regression!$B$18</f>
        <v>-3.6632514766371221E-2</v>
      </c>
      <c r="Y49">
        <f>J49*Regression!$B$19</f>
        <v>0</v>
      </c>
      <c r="Z49">
        <f>K49*Regression!$B$20</f>
        <v>0.21202121993174294</v>
      </c>
      <c r="AA49">
        <f>L49*Regression!$B$21</f>
        <v>-0.11600626172099011</v>
      </c>
      <c r="AB49" s="25">
        <f t="shared" si="4"/>
        <v>4.4884588738953788</v>
      </c>
    </row>
    <row r="50" spans="1:28" ht="15.5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  <c r="I50">
        <f t="shared" si="0"/>
        <v>1</v>
      </c>
      <c r="J50">
        <f t="shared" si="1"/>
        <v>0</v>
      </c>
      <c r="K50">
        <f t="shared" si="2"/>
        <v>4</v>
      </c>
      <c r="L50">
        <f t="shared" si="3"/>
        <v>1</v>
      </c>
      <c r="M50">
        <v>3</v>
      </c>
      <c r="N50">
        <v>28.55</v>
      </c>
      <c r="O50" s="23">
        <v>2.0499999999999998</v>
      </c>
      <c r="U50" s="2">
        <v>0.67508094538181496</v>
      </c>
      <c r="V50">
        <f>N50*Regression!$B$23</f>
        <v>2.6912234562424944</v>
      </c>
      <c r="W50">
        <f>M50*Regression!$B$22</f>
        <v>0.52489311164102437</v>
      </c>
      <c r="X50">
        <f>I50*Regression!$B$18</f>
        <v>-3.6632514766371221E-2</v>
      </c>
      <c r="Y50">
        <f>J50*Regression!$B$19</f>
        <v>0</v>
      </c>
      <c r="Z50">
        <f>K50*Regression!$B$20</f>
        <v>0.21202121993174294</v>
      </c>
      <c r="AA50">
        <f>L50*Regression!$B$21</f>
        <v>-0.11600626172099011</v>
      </c>
      <c r="AB50" s="25">
        <f t="shared" si="4"/>
        <v>3.9505799567097153</v>
      </c>
    </row>
    <row r="51" spans="1:28" ht="15.5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  <c r="I51">
        <f t="shared" si="0"/>
        <v>1</v>
      </c>
      <c r="J51">
        <f t="shared" si="1"/>
        <v>0</v>
      </c>
      <c r="K51">
        <f t="shared" si="2"/>
        <v>4</v>
      </c>
      <c r="L51">
        <f t="shared" si="3"/>
        <v>1</v>
      </c>
      <c r="M51">
        <v>2</v>
      </c>
      <c r="N51">
        <v>18.04</v>
      </c>
      <c r="O51" s="23">
        <v>3</v>
      </c>
      <c r="U51" s="2">
        <v>0.67508094538181496</v>
      </c>
      <c r="V51">
        <f>N51*Regression!$B$23</f>
        <v>1.7005138756782694</v>
      </c>
      <c r="W51">
        <f>M51*Regression!$B$22</f>
        <v>0.34992874109401623</v>
      </c>
      <c r="X51">
        <f>I51*Regression!$B$18</f>
        <v>-3.6632514766371221E-2</v>
      </c>
      <c r="Y51">
        <f>J51*Regression!$B$19</f>
        <v>0</v>
      </c>
      <c r="Z51">
        <f>K51*Regression!$B$20</f>
        <v>0.21202121993174294</v>
      </c>
      <c r="AA51">
        <f>L51*Regression!$B$21</f>
        <v>-0.11600626172099011</v>
      </c>
      <c r="AB51" s="25">
        <f t="shared" si="4"/>
        <v>2.784906005598482</v>
      </c>
    </row>
    <row r="52" spans="1:28" ht="15.5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  <c r="I52">
        <f t="shared" si="0"/>
        <v>1</v>
      </c>
      <c r="J52">
        <f t="shared" si="1"/>
        <v>0</v>
      </c>
      <c r="K52">
        <f t="shared" si="2"/>
        <v>4</v>
      </c>
      <c r="L52">
        <f t="shared" si="3"/>
        <v>1</v>
      </c>
      <c r="M52">
        <v>2</v>
      </c>
      <c r="N52">
        <v>12.54</v>
      </c>
      <c r="O52" s="23">
        <v>2.5</v>
      </c>
      <c r="U52" s="2">
        <v>0.67508094538181496</v>
      </c>
      <c r="V52">
        <f>N52*Regression!$B$23</f>
        <v>1.1820645233373337</v>
      </c>
      <c r="W52">
        <f>M52*Regression!$B$22</f>
        <v>0.34992874109401623</v>
      </c>
      <c r="X52">
        <f>I52*Regression!$B$18</f>
        <v>-3.6632514766371221E-2</v>
      </c>
      <c r="Y52">
        <f>J52*Regression!$B$19</f>
        <v>0</v>
      </c>
      <c r="Z52">
        <f>K52*Regression!$B$20</f>
        <v>0.21202121993174294</v>
      </c>
      <c r="AA52">
        <f>L52*Regression!$B$21</f>
        <v>-0.11600626172099011</v>
      </c>
      <c r="AB52" s="25">
        <f t="shared" si="4"/>
        <v>2.2664566532575465</v>
      </c>
    </row>
    <row r="53" spans="1:28" ht="15.5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  <c r="I53">
        <f t="shared" si="0"/>
        <v>0</v>
      </c>
      <c r="J53">
        <f t="shared" si="1"/>
        <v>0</v>
      </c>
      <c r="K53">
        <f t="shared" si="2"/>
        <v>4</v>
      </c>
      <c r="L53">
        <f t="shared" si="3"/>
        <v>1</v>
      </c>
      <c r="M53">
        <v>2</v>
      </c>
      <c r="N53">
        <v>10.29</v>
      </c>
      <c r="O53" s="23">
        <v>2.6</v>
      </c>
      <c r="U53" s="2">
        <v>0.67508094538181496</v>
      </c>
      <c r="V53">
        <f>N53*Regression!$B$23</f>
        <v>0.96997160647058711</v>
      </c>
      <c r="W53">
        <f>M53*Regression!$B$22</f>
        <v>0.34992874109401623</v>
      </c>
      <c r="X53">
        <f>I53*Regression!$B$18</f>
        <v>0</v>
      </c>
      <c r="Y53">
        <f>J53*Regression!$B$19</f>
        <v>0</v>
      </c>
      <c r="Z53">
        <f>K53*Regression!$B$20</f>
        <v>0.21202121993174294</v>
      </c>
      <c r="AA53">
        <f>L53*Regression!$B$21</f>
        <v>-0.11600626172099011</v>
      </c>
      <c r="AB53" s="25">
        <f t="shared" si="4"/>
        <v>2.0909962511571711</v>
      </c>
    </row>
    <row r="54" spans="1:28" ht="15.5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  <c r="I54">
        <f t="shared" si="0"/>
        <v>0</v>
      </c>
      <c r="J54">
        <f t="shared" si="1"/>
        <v>0</v>
      </c>
      <c r="K54">
        <f t="shared" si="2"/>
        <v>4</v>
      </c>
      <c r="L54">
        <f t="shared" si="3"/>
        <v>1</v>
      </c>
      <c r="M54">
        <v>4</v>
      </c>
      <c r="N54">
        <v>34.81</v>
      </c>
      <c r="O54" s="23">
        <v>5.2</v>
      </c>
      <c r="U54" s="2">
        <v>0.67508094538181496</v>
      </c>
      <c r="V54">
        <f>N54*Regression!$B$23</f>
        <v>3.2813130827250867</v>
      </c>
      <c r="W54">
        <f>M54*Regression!$B$22</f>
        <v>0.69985748218803245</v>
      </c>
      <c r="X54">
        <f>I54*Regression!$B$18</f>
        <v>0</v>
      </c>
      <c r="Y54">
        <f>J54*Regression!$B$19</f>
        <v>0</v>
      </c>
      <c r="Z54">
        <f>K54*Regression!$B$20</f>
        <v>0.21202121993174294</v>
      </c>
      <c r="AA54">
        <f>L54*Regression!$B$21</f>
        <v>-0.11600626172099011</v>
      </c>
      <c r="AB54" s="25">
        <f t="shared" si="4"/>
        <v>4.7522664685056872</v>
      </c>
    </row>
    <row r="55" spans="1:28" ht="15.5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  <c r="I55">
        <f t="shared" si="0"/>
        <v>1</v>
      </c>
      <c r="J55">
        <f t="shared" si="1"/>
        <v>0</v>
      </c>
      <c r="K55">
        <f t="shared" si="2"/>
        <v>4</v>
      </c>
      <c r="L55">
        <f t="shared" si="3"/>
        <v>1</v>
      </c>
      <c r="M55">
        <v>2</v>
      </c>
      <c r="N55">
        <v>9.94</v>
      </c>
      <c r="O55" s="23">
        <v>1.56</v>
      </c>
      <c r="U55" s="2">
        <v>0.67508094538181496</v>
      </c>
      <c r="V55">
        <f>N55*Regression!$B$23</f>
        <v>0.93697937495798211</v>
      </c>
      <c r="W55">
        <f>M55*Regression!$B$22</f>
        <v>0.34992874109401623</v>
      </c>
      <c r="X55">
        <f>I55*Regression!$B$18</f>
        <v>-3.6632514766371221E-2</v>
      </c>
      <c r="Y55">
        <f>J55*Regression!$B$19</f>
        <v>0</v>
      </c>
      <c r="Z55">
        <f>K55*Regression!$B$20</f>
        <v>0.21202121993174294</v>
      </c>
      <c r="AA55">
        <f>L55*Regression!$B$21</f>
        <v>-0.11600626172099011</v>
      </c>
      <c r="AB55" s="25">
        <f t="shared" si="4"/>
        <v>2.0213715048781946</v>
      </c>
    </row>
    <row r="56" spans="1:28" ht="15.5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  <c r="I56">
        <f t="shared" si="0"/>
        <v>1</v>
      </c>
      <c r="J56">
        <f t="shared" si="1"/>
        <v>0</v>
      </c>
      <c r="K56">
        <f t="shared" si="2"/>
        <v>4</v>
      </c>
      <c r="L56">
        <f t="shared" si="3"/>
        <v>1</v>
      </c>
      <c r="M56">
        <v>4</v>
      </c>
      <c r="N56">
        <v>25.56</v>
      </c>
      <c r="O56" s="23">
        <v>4.34</v>
      </c>
      <c r="U56" s="2">
        <v>0.67508094538181496</v>
      </c>
      <c r="V56">
        <f>N56*Regression!$B$23</f>
        <v>2.4093755356062396</v>
      </c>
      <c r="W56">
        <f>M56*Regression!$B$22</f>
        <v>0.69985748218803245</v>
      </c>
      <c r="X56">
        <f>I56*Regression!$B$18</f>
        <v>-3.6632514766371221E-2</v>
      </c>
      <c r="Y56">
        <f>J56*Regression!$B$19</f>
        <v>0</v>
      </c>
      <c r="Z56">
        <f>K56*Regression!$B$20</f>
        <v>0.21202121993174294</v>
      </c>
      <c r="AA56">
        <f>L56*Regression!$B$21</f>
        <v>-0.11600626172099011</v>
      </c>
      <c r="AB56" s="25">
        <f t="shared" si="4"/>
        <v>3.8436964066204684</v>
      </c>
    </row>
    <row r="57" spans="1:28" ht="15.5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  <c r="I57">
        <f t="shared" si="0"/>
        <v>1</v>
      </c>
      <c r="J57">
        <f t="shared" si="1"/>
        <v>0</v>
      </c>
      <c r="K57">
        <f t="shared" si="2"/>
        <v>4</v>
      </c>
      <c r="L57">
        <f t="shared" si="3"/>
        <v>1</v>
      </c>
      <c r="M57">
        <v>2</v>
      </c>
      <c r="N57">
        <v>19.489999999999998</v>
      </c>
      <c r="O57" s="23">
        <v>3.51</v>
      </c>
      <c r="U57" s="2">
        <v>0.67508094538181496</v>
      </c>
      <c r="V57">
        <f>N57*Regression!$B$23</f>
        <v>1.8371959776590616</v>
      </c>
      <c r="W57">
        <f>M57*Regression!$B$22</f>
        <v>0.34992874109401623</v>
      </c>
      <c r="X57">
        <f>I57*Regression!$B$18</f>
        <v>-3.6632514766371221E-2</v>
      </c>
      <c r="Y57">
        <f>J57*Regression!$B$19</f>
        <v>0</v>
      </c>
      <c r="Z57">
        <f>K57*Regression!$B$20</f>
        <v>0.21202121993174294</v>
      </c>
      <c r="AA57">
        <f>L57*Regression!$B$21</f>
        <v>-0.11600626172099011</v>
      </c>
      <c r="AB57" s="25">
        <f t="shared" si="4"/>
        <v>2.9215881075792742</v>
      </c>
    </row>
    <row r="58" spans="1:28" ht="15.5" x14ac:dyDescent="0.35">
      <c r="A58" t="s">
        <v>11</v>
      </c>
      <c r="B58" t="s">
        <v>13</v>
      </c>
      <c r="C58" t="s">
        <v>12</v>
      </c>
      <c r="D58" t="s">
        <v>10</v>
      </c>
      <c r="E58">
        <v>4</v>
      </c>
      <c r="F58">
        <v>38.01</v>
      </c>
      <c r="G58">
        <v>3</v>
      </c>
      <c r="I58">
        <f t="shared" si="0"/>
        <v>1</v>
      </c>
      <c r="J58">
        <f t="shared" si="1"/>
        <v>1</v>
      </c>
      <c r="K58">
        <f t="shared" si="2"/>
        <v>3</v>
      </c>
      <c r="L58">
        <f t="shared" si="3"/>
        <v>1</v>
      </c>
      <c r="M58">
        <v>4</v>
      </c>
      <c r="N58">
        <v>38.01</v>
      </c>
      <c r="O58" s="23">
        <v>3</v>
      </c>
      <c r="U58" s="2">
        <v>0.67508094538181496</v>
      </c>
      <c r="V58">
        <f>N58*Regression!$B$23</f>
        <v>3.5829563422689037</v>
      </c>
      <c r="W58">
        <f>M58*Regression!$B$22</f>
        <v>0.69985748218803245</v>
      </c>
      <c r="X58">
        <f>I58*Regression!$B$18</f>
        <v>-3.6632514766371221E-2</v>
      </c>
      <c r="Y58">
        <f>J58*Regression!$B$19</f>
        <v>-7.2844330789933256E-2</v>
      </c>
      <c r="Z58">
        <f>K58*Regression!$B$20</f>
        <v>0.15901591494880721</v>
      </c>
      <c r="AA58">
        <f>L58*Regression!$B$21</f>
        <v>-0.11600626172099011</v>
      </c>
      <c r="AB58" s="25">
        <f t="shared" si="4"/>
        <v>4.8914275775102647</v>
      </c>
    </row>
    <row r="59" spans="1:28" ht="15.5" x14ac:dyDescent="0.35">
      <c r="A59" t="s">
        <v>7</v>
      </c>
      <c r="B59" t="s">
        <v>8</v>
      </c>
      <c r="C59" t="s">
        <v>12</v>
      </c>
      <c r="D59" t="s">
        <v>10</v>
      </c>
      <c r="E59">
        <v>2</v>
      </c>
      <c r="F59">
        <v>26.41</v>
      </c>
      <c r="G59">
        <v>1.5</v>
      </c>
      <c r="I59">
        <f t="shared" si="0"/>
        <v>0</v>
      </c>
      <c r="J59">
        <f t="shared" si="1"/>
        <v>0</v>
      </c>
      <c r="K59">
        <f t="shared" si="2"/>
        <v>3</v>
      </c>
      <c r="L59">
        <f t="shared" si="3"/>
        <v>1</v>
      </c>
      <c r="M59">
        <v>2</v>
      </c>
      <c r="N59">
        <v>26.41</v>
      </c>
      <c r="O59" s="23">
        <v>1.5</v>
      </c>
      <c r="U59" s="2">
        <v>0.67508094538181496</v>
      </c>
      <c r="V59">
        <f>N59*Regression!$B$23</f>
        <v>2.4894995264225663</v>
      </c>
      <c r="W59">
        <f>M59*Regression!$B$22</f>
        <v>0.34992874109401623</v>
      </c>
      <c r="X59">
        <f>I59*Regression!$B$18</f>
        <v>0</v>
      </c>
      <c r="Y59">
        <f>J59*Regression!$B$19</f>
        <v>0</v>
      </c>
      <c r="Z59">
        <f>K59*Regression!$B$20</f>
        <v>0.15901591494880721</v>
      </c>
      <c r="AA59">
        <f>L59*Regression!$B$21</f>
        <v>-0.11600626172099011</v>
      </c>
      <c r="AB59" s="25">
        <f t="shared" si="4"/>
        <v>3.5575188661262143</v>
      </c>
    </row>
    <row r="60" spans="1:28" ht="15.5" x14ac:dyDescent="0.35">
      <c r="A60" t="s">
        <v>11</v>
      </c>
      <c r="B60" t="s">
        <v>13</v>
      </c>
      <c r="C60" t="s">
        <v>12</v>
      </c>
      <c r="D60" t="s">
        <v>10</v>
      </c>
      <c r="E60">
        <v>2</v>
      </c>
      <c r="F60">
        <v>11.24</v>
      </c>
      <c r="G60">
        <v>1.76</v>
      </c>
      <c r="I60">
        <f t="shared" si="0"/>
        <v>1</v>
      </c>
      <c r="J60">
        <f t="shared" si="1"/>
        <v>1</v>
      </c>
      <c r="K60">
        <f t="shared" si="2"/>
        <v>3</v>
      </c>
      <c r="L60">
        <f t="shared" si="3"/>
        <v>1</v>
      </c>
      <c r="M60">
        <v>2</v>
      </c>
      <c r="N60">
        <v>11.24</v>
      </c>
      <c r="O60" s="23">
        <v>1.76</v>
      </c>
      <c r="U60" s="2">
        <v>0.67508094538181496</v>
      </c>
      <c r="V60">
        <f>N60*Regression!$B$23</f>
        <v>1.059521949147658</v>
      </c>
      <c r="W60">
        <f>M60*Regression!$B$22</f>
        <v>0.34992874109401623</v>
      </c>
      <c r="X60">
        <f>I60*Regression!$B$18</f>
        <v>-3.6632514766371221E-2</v>
      </c>
      <c r="Y60">
        <f>J60*Regression!$B$19</f>
        <v>-7.2844330789933256E-2</v>
      </c>
      <c r="Z60">
        <f>K60*Regression!$B$20</f>
        <v>0.15901591494880721</v>
      </c>
      <c r="AA60">
        <f>L60*Regression!$B$21</f>
        <v>-0.11600626172099011</v>
      </c>
      <c r="AB60" s="25">
        <f t="shared" si="4"/>
        <v>2.0180644432950015</v>
      </c>
    </row>
    <row r="61" spans="1:28" ht="15.5" x14ac:dyDescent="0.35">
      <c r="A61" t="s">
        <v>11</v>
      </c>
      <c r="B61" t="s">
        <v>8</v>
      </c>
      <c r="C61" t="s">
        <v>12</v>
      </c>
      <c r="D61" t="s">
        <v>10</v>
      </c>
      <c r="E61">
        <v>4</v>
      </c>
      <c r="F61">
        <v>48.27</v>
      </c>
      <c r="G61">
        <v>6.73</v>
      </c>
      <c r="I61">
        <f t="shared" si="0"/>
        <v>1</v>
      </c>
      <c r="J61">
        <f t="shared" si="1"/>
        <v>0</v>
      </c>
      <c r="K61">
        <f t="shared" si="2"/>
        <v>3</v>
      </c>
      <c r="L61">
        <f t="shared" si="3"/>
        <v>1</v>
      </c>
      <c r="M61">
        <v>4</v>
      </c>
      <c r="N61">
        <v>48.27</v>
      </c>
      <c r="O61" s="23">
        <v>6.73</v>
      </c>
      <c r="U61" s="2">
        <v>0.67508094538181496</v>
      </c>
      <c r="V61">
        <f>N61*Regression!$B$23</f>
        <v>4.5501000431812679</v>
      </c>
      <c r="W61">
        <f>M61*Regression!$B$22</f>
        <v>0.69985748218803245</v>
      </c>
      <c r="X61">
        <f>I61*Regression!$B$18</f>
        <v>-3.6632514766371221E-2</v>
      </c>
      <c r="Y61">
        <f>J61*Regression!$B$19</f>
        <v>0</v>
      </c>
      <c r="Z61">
        <f>K61*Regression!$B$20</f>
        <v>0.15901591494880721</v>
      </c>
      <c r="AA61">
        <f>L61*Regression!$B$21</f>
        <v>-0.11600626172099011</v>
      </c>
      <c r="AB61" s="25">
        <f t="shared" si="4"/>
        <v>5.9314156092125616</v>
      </c>
    </row>
    <row r="62" spans="1:28" ht="15.5" x14ac:dyDescent="0.35">
      <c r="A62" t="s">
        <v>11</v>
      </c>
      <c r="B62" t="s">
        <v>13</v>
      </c>
      <c r="C62" t="s">
        <v>12</v>
      </c>
      <c r="D62" t="s">
        <v>10</v>
      </c>
      <c r="E62">
        <v>2</v>
      </c>
      <c r="F62">
        <v>20.29</v>
      </c>
      <c r="G62">
        <v>3.21</v>
      </c>
      <c r="I62">
        <f t="shared" si="0"/>
        <v>1</v>
      </c>
      <c r="J62">
        <f t="shared" si="1"/>
        <v>1</v>
      </c>
      <c r="K62">
        <f t="shared" si="2"/>
        <v>3</v>
      </c>
      <c r="L62">
        <f t="shared" si="3"/>
        <v>1</v>
      </c>
      <c r="M62">
        <v>2</v>
      </c>
      <c r="N62">
        <v>20.29</v>
      </c>
      <c r="O62" s="23">
        <v>3.21</v>
      </c>
      <c r="U62" s="2">
        <v>0.67508094538181496</v>
      </c>
      <c r="V62">
        <f>N62*Regression!$B$23</f>
        <v>1.9126067925450159</v>
      </c>
      <c r="W62">
        <f>M62*Regression!$B$22</f>
        <v>0.34992874109401623</v>
      </c>
      <c r="X62">
        <f>I62*Regression!$B$18</f>
        <v>-3.6632514766371221E-2</v>
      </c>
      <c r="Y62">
        <f>J62*Regression!$B$19</f>
        <v>-7.2844330789933256E-2</v>
      </c>
      <c r="Z62">
        <f>K62*Regression!$B$20</f>
        <v>0.15901591494880721</v>
      </c>
      <c r="AA62">
        <f>L62*Regression!$B$21</f>
        <v>-0.11600626172099011</v>
      </c>
      <c r="AB62" s="25">
        <f t="shared" si="4"/>
        <v>2.8711492866923591</v>
      </c>
    </row>
    <row r="63" spans="1:28" ht="15.5" x14ac:dyDescent="0.35">
      <c r="A63" t="s">
        <v>11</v>
      </c>
      <c r="B63" t="s">
        <v>13</v>
      </c>
      <c r="C63" t="s">
        <v>12</v>
      </c>
      <c r="D63" t="s">
        <v>10</v>
      </c>
      <c r="E63">
        <v>2</v>
      </c>
      <c r="F63">
        <v>13.81</v>
      </c>
      <c r="G63">
        <v>2</v>
      </c>
      <c r="I63">
        <f t="shared" si="0"/>
        <v>1</v>
      </c>
      <c r="J63">
        <f t="shared" si="1"/>
        <v>1</v>
      </c>
      <c r="K63">
        <f t="shared" si="2"/>
        <v>3</v>
      </c>
      <c r="L63">
        <f t="shared" si="3"/>
        <v>1</v>
      </c>
      <c r="M63">
        <v>2</v>
      </c>
      <c r="N63">
        <v>13.81</v>
      </c>
      <c r="O63" s="23">
        <v>2</v>
      </c>
      <c r="U63" s="2">
        <v>0.67508094538181496</v>
      </c>
      <c r="V63">
        <f>N63*Regression!$B$23</f>
        <v>1.3017791919687862</v>
      </c>
      <c r="W63">
        <f>M63*Regression!$B$22</f>
        <v>0.34992874109401623</v>
      </c>
      <c r="X63">
        <f>I63*Regression!$B$18</f>
        <v>-3.6632514766371221E-2</v>
      </c>
      <c r="Y63">
        <f>J63*Regression!$B$19</f>
        <v>-7.2844330789933256E-2</v>
      </c>
      <c r="Z63">
        <f>K63*Regression!$B$20</f>
        <v>0.15901591494880721</v>
      </c>
      <c r="AA63">
        <f>L63*Regression!$B$21</f>
        <v>-0.11600626172099011</v>
      </c>
      <c r="AB63" s="25">
        <f t="shared" si="4"/>
        <v>2.2603216861161299</v>
      </c>
    </row>
    <row r="64" spans="1:28" ht="15.5" x14ac:dyDescent="0.35">
      <c r="A64" t="s">
        <v>11</v>
      </c>
      <c r="B64" t="s">
        <v>13</v>
      </c>
      <c r="C64" t="s">
        <v>12</v>
      </c>
      <c r="D64" t="s">
        <v>10</v>
      </c>
      <c r="E64">
        <v>2</v>
      </c>
      <c r="F64">
        <v>11.02</v>
      </c>
      <c r="G64">
        <v>1.98</v>
      </c>
      <c r="I64">
        <f t="shared" si="0"/>
        <v>1</v>
      </c>
      <c r="J64">
        <f t="shared" si="1"/>
        <v>1</v>
      </c>
      <c r="K64">
        <f t="shared" si="2"/>
        <v>3</v>
      </c>
      <c r="L64">
        <f t="shared" si="3"/>
        <v>1</v>
      </c>
      <c r="M64">
        <v>2</v>
      </c>
      <c r="N64">
        <v>11.02</v>
      </c>
      <c r="O64" s="23">
        <v>1.98</v>
      </c>
      <c r="U64" s="2">
        <v>0.67508094538181496</v>
      </c>
      <c r="V64">
        <f>N64*Regression!$B$23</f>
        <v>1.0387839750540204</v>
      </c>
      <c r="W64">
        <f>M64*Regression!$B$22</f>
        <v>0.34992874109401623</v>
      </c>
      <c r="X64">
        <f>I64*Regression!$B$18</f>
        <v>-3.6632514766371221E-2</v>
      </c>
      <c r="Y64">
        <f>J64*Regression!$B$19</f>
        <v>-7.2844330789933256E-2</v>
      </c>
      <c r="Z64">
        <f>K64*Regression!$B$20</f>
        <v>0.15901591494880721</v>
      </c>
      <c r="AA64">
        <f>L64*Regression!$B$21</f>
        <v>-0.11600626172099011</v>
      </c>
      <c r="AB64" s="25">
        <f t="shared" si="4"/>
        <v>1.9973264692013644</v>
      </c>
    </row>
    <row r="65" spans="1:28" ht="15.5" x14ac:dyDescent="0.35">
      <c r="A65" t="s">
        <v>11</v>
      </c>
      <c r="B65" t="s">
        <v>13</v>
      </c>
      <c r="C65" t="s">
        <v>12</v>
      </c>
      <c r="D65" t="s">
        <v>10</v>
      </c>
      <c r="E65">
        <v>4</v>
      </c>
      <c r="F65">
        <v>18.29</v>
      </c>
      <c r="G65">
        <v>3.76</v>
      </c>
      <c r="I65">
        <f t="shared" si="0"/>
        <v>1</v>
      </c>
      <c r="J65">
        <f t="shared" si="1"/>
        <v>1</v>
      </c>
      <c r="K65">
        <f t="shared" si="2"/>
        <v>3</v>
      </c>
      <c r="L65">
        <f t="shared" si="3"/>
        <v>1</v>
      </c>
      <c r="M65">
        <v>4</v>
      </c>
      <c r="N65">
        <v>18.29</v>
      </c>
      <c r="O65" s="23">
        <v>3.76</v>
      </c>
      <c r="U65" s="2">
        <v>0.67508094538181496</v>
      </c>
      <c r="V65">
        <f>N65*Regression!$B$23</f>
        <v>1.7240797553301301</v>
      </c>
      <c r="W65">
        <f>M65*Regression!$B$22</f>
        <v>0.69985748218803245</v>
      </c>
      <c r="X65">
        <f>I65*Regression!$B$18</f>
        <v>-3.6632514766371221E-2</v>
      </c>
      <c r="Y65">
        <f>J65*Regression!$B$19</f>
        <v>-7.2844330789933256E-2</v>
      </c>
      <c r="Z65">
        <f>K65*Regression!$B$20</f>
        <v>0.15901591494880721</v>
      </c>
      <c r="AA65">
        <f>L65*Regression!$B$21</f>
        <v>-0.11600626172099011</v>
      </c>
      <c r="AB65" s="25">
        <f t="shared" si="4"/>
        <v>3.0325509905714898</v>
      </c>
    </row>
    <row r="66" spans="1:28" ht="15.5" x14ac:dyDescent="0.35">
      <c r="A66" t="s">
        <v>11</v>
      </c>
      <c r="B66" t="s">
        <v>8</v>
      </c>
      <c r="C66" t="s">
        <v>12</v>
      </c>
      <c r="D66" t="s">
        <v>10</v>
      </c>
      <c r="E66">
        <v>3</v>
      </c>
      <c r="F66">
        <v>17.59</v>
      </c>
      <c r="G66">
        <v>2.64</v>
      </c>
      <c r="I66">
        <f t="shared" si="0"/>
        <v>1</v>
      </c>
      <c r="J66">
        <f t="shared" si="1"/>
        <v>0</v>
      </c>
      <c r="K66">
        <f t="shared" si="2"/>
        <v>3</v>
      </c>
      <c r="L66">
        <f t="shared" si="3"/>
        <v>1</v>
      </c>
      <c r="M66">
        <v>3</v>
      </c>
      <c r="N66">
        <v>17.59</v>
      </c>
      <c r="O66" s="23">
        <v>2.64</v>
      </c>
      <c r="U66" s="2">
        <v>0.67508094538181496</v>
      </c>
      <c r="V66">
        <f>N66*Regression!$B$23</f>
        <v>1.6580952923049201</v>
      </c>
      <c r="W66">
        <f>M66*Regression!$B$22</f>
        <v>0.52489311164102437</v>
      </c>
      <c r="X66">
        <f>I66*Regression!$B$18</f>
        <v>-3.6632514766371221E-2</v>
      </c>
      <c r="Y66">
        <f>J66*Regression!$B$19</f>
        <v>0</v>
      </c>
      <c r="Z66">
        <f>K66*Regression!$B$20</f>
        <v>0.15901591494880721</v>
      </c>
      <c r="AA66">
        <f>L66*Regression!$B$21</f>
        <v>-0.11600626172099011</v>
      </c>
      <c r="AB66" s="25">
        <f t="shared" si="4"/>
        <v>2.8644464877892051</v>
      </c>
    </row>
    <row r="67" spans="1:28" ht="15.5" x14ac:dyDescent="0.35">
      <c r="A67" t="s">
        <v>11</v>
      </c>
      <c r="B67" t="s">
        <v>8</v>
      </c>
      <c r="C67" t="s">
        <v>12</v>
      </c>
      <c r="D67" t="s">
        <v>10</v>
      </c>
      <c r="E67">
        <v>3</v>
      </c>
      <c r="F67">
        <v>20.079999999999998</v>
      </c>
      <c r="G67">
        <v>3.15</v>
      </c>
      <c r="I67">
        <f t="shared" ref="I67:I130" si="5">IF(A67="Female",0,1)</f>
        <v>1</v>
      </c>
      <c r="J67">
        <f t="shared" ref="J67:J130" si="6">IF(B67="No",0,1)</f>
        <v>0</v>
      </c>
      <c r="K67">
        <f t="shared" ref="K67:K130" si="7">IF(C67="Sun",4,IF(C67="Sat",3,IF(C67="Fri",2,1)))</f>
        <v>3</v>
      </c>
      <c r="L67">
        <f t="shared" ref="L67:L130" si="8">IF(D67="Lunch",0,1)</f>
        <v>1</v>
      </c>
      <c r="M67">
        <v>3</v>
      </c>
      <c r="N67">
        <v>20.079999999999998</v>
      </c>
      <c r="O67" s="23">
        <v>3.15</v>
      </c>
      <c r="U67" s="2">
        <v>0.67508094538181496</v>
      </c>
      <c r="V67">
        <f>N67*Regression!$B$23</f>
        <v>1.8928114536374527</v>
      </c>
      <c r="W67">
        <f>M67*Regression!$B$22</f>
        <v>0.52489311164102437</v>
      </c>
      <c r="X67">
        <f>I67*Regression!$B$18</f>
        <v>-3.6632514766371221E-2</v>
      </c>
      <c r="Y67">
        <f>J67*Regression!$B$19</f>
        <v>0</v>
      </c>
      <c r="Z67">
        <f>K67*Regression!$B$20</f>
        <v>0.15901591494880721</v>
      </c>
      <c r="AA67">
        <f>L67*Regression!$B$21</f>
        <v>-0.11600626172099011</v>
      </c>
      <c r="AB67" s="25">
        <f t="shared" ref="AB67:AB130" si="9">SUM(U67:AA67)</f>
        <v>3.0991626491217379</v>
      </c>
    </row>
    <row r="68" spans="1:28" ht="15.5" x14ac:dyDescent="0.35">
      <c r="A68" t="s">
        <v>7</v>
      </c>
      <c r="B68" t="s">
        <v>8</v>
      </c>
      <c r="C68" t="s">
        <v>12</v>
      </c>
      <c r="D68" t="s">
        <v>10</v>
      </c>
      <c r="E68">
        <v>2</v>
      </c>
      <c r="F68">
        <v>16.45</v>
      </c>
      <c r="G68">
        <v>2.4700000000000002</v>
      </c>
      <c r="I68">
        <f t="shared" si="5"/>
        <v>0</v>
      </c>
      <c r="J68">
        <f t="shared" si="6"/>
        <v>0</v>
      </c>
      <c r="K68">
        <f t="shared" si="7"/>
        <v>3</v>
      </c>
      <c r="L68">
        <f t="shared" si="8"/>
        <v>1</v>
      </c>
      <c r="M68">
        <v>2</v>
      </c>
      <c r="N68">
        <v>16.45</v>
      </c>
      <c r="O68" s="23">
        <v>2.4700000000000002</v>
      </c>
      <c r="U68" s="2">
        <v>0.67508094538181496</v>
      </c>
      <c r="V68">
        <f>N68*Regression!$B$23</f>
        <v>1.5506348810924353</v>
      </c>
      <c r="W68">
        <f>M68*Regression!$B$22</f>
        <v>0.34992874109401623</v>
      </c>
      <c r="X68">
        <f>I68*Regression!$B$18</f>
        <v>0</v>
      </c>
      <c r="Y68">
        <f>J68*Regression!$B$19</f>
        <v>0</v>
      </c>
      <c r="Z68">
        <f>K68*Regression!$B$20</f>
        <v>0.15901591494880721</v>
      </c>
      <c r="AA68">
        <f>L68*Regression!$B$21</f>
        <v>-0.11600626172099011</v>
      </c>
      <c r="AB68" s="25">
        <f t="shared" si="9"/>
        <v>2.618654220796083</v>
      </c>
    </row>
    <row r="69" spans="1:28" ht="15.5" x14ac:dyDescent="0.35">
      <c r="A69" t="s">
        <v>7</v>
      </c>
      <c r="B69" t="s">
        <v>13</v>
      </c>
      <c r="C69" t="s">
        <v>12</v>
      </c>
      <c r="D69" t="s">
        <v>10</v>
      </c>
      <c r="E69">
        <v>1</v>
      </c>
      <c r="F69">
        <v>3.07</v>
      </c>
      <c r="G69">
        <v>1</v>
      </c>
      <c r="I69">
        <f t="shared" si="5"/>
        <v>0</v>
      </c>
      <c r="J69">
        <f t="shared" si="6"/>
        <v>1</v>
      </c>
      <c r="K69">
        <f t="shared" si="7"/>
        <v>3</v>
      </c>
      <c r="L69">
        <f t="shared" si="8"/>
        <v>1</v>
      </c>
      <c r="M69">
        <v>1</v>
      </c>
      <c r="N69">
        <v>3.07</v>
      </c>
      <c r="O69" s="23">
        <v>1</v>
      </c>
      <c r="U69" s="2">
        <v>0.67508094538181496</v>
      </c>
      <c r="V69">
        <f>N69*Regression!$B$23</f>
        <v>0.28938900212484964</v>
      </c>
      <c r="W69">
        <f>M69*Regression!$B$22</f>
        <v>0.17496437054700811</v>
      </c>
      <c r="X69">
        <f>I69*Regression!$B$18</f>
        <v>0</v>
      </c>
      <c r="Y69">
        <f>J69*Regression!$B$19</f>
        <v>-7.2844330789933256E-2</v>
      </c>
      <c r="Z69">
        <f>K69*Regression!$B$20</f>
        <v>0.15901591494880721</v>
      </c>
      <c r="AA69">
        <f>L69*Regression!$B$21</f>
        <v>-0.11600626172099011</v>
      </c>
      <c r="AB69" s="25">
        <f t="shared" si="9"/>
        <v>1.1095996404915567</v>
      </c>
    </row>
    <row r="70" spans="1:28" ht="15.5" x14ac:dyDescent="0.35">
      <c r="A70" t="s">
        <v>11</v>
      </c>
      <c r="B70" t="s">
        <v>8</v>
      </c>
      <c r="C70" t="s">
        <v>12</v>
      </c>
      <c r="D70" t="s">
        <v>10</v>
      </c>
      <c r="E70">
        <v>2</v>
      </c>
      <c r="F70">
        <v>20.23</v>
      </c>
      <c r="G70">
        <v>2.0099999999999998</v>
      </c>
      <c r="I70">
        <f t="shared" si="5"/>
        <v>1</v>
      </c>
      <c r="J70">
        <f t="shared" si="6"/>
        <v>0</v>
      </c>
      <c r="K70">
        <f t="shared" si="7"/>
        <v>3</v>
      </c>
      <c r="L70">
        <f t="shared" si="8"/>
        <v>1</v>
      </c>
      <c r="M70">
        <v>2</v>
      </c>
      <c r="N70">
        <v>20.23</v>
      </c>
      <c r="O70" s="23">
        <v>2.0099999999999998</v>
      </c>
      <c r="U70" s="2">
        <v>0.67508094538181496</v>
      </c>
      <c r="V70">
        <f>N70*Regression!$B$23</f>
        <v>1.9069509814285694</v>
      </c>
      <c r="W70">
        <f>M70*Regression!$B$22</f>
        <v>0.34992874109401623</v>
      </c>
      <c r="X70">
        <f>I70*Regression!$B$18</f>
        <v>-3.6632514766371221E-2</v>
      </c>
      <c r="Y70">
        <f>J70*Regression!$B$19</f>
        <v>0</v>
      </c>
      <c r="Z70">
        <f>K70*Regression!$B$20</f>
        <v>0.15901591494880721</v>
      </c>
      <c r="AA70">
        <f>L70*Regression!$B$21</f>
        <v>-0.11600626172099011</v>
      </c>
      <c r="AB70" s="25">
        <f t="shared" si="9"/>
        <v>2.9383378063658463</v>
      </c>
    </row>
    <row r="71" spans="1:28" ht="15.5" x14ac:dyDescent="0.35">
      <c r="A71" t="s">
        <v>11</v>
      </c>
      <c r="B71" t="s">
        <v>13</v>
      </c>
      <c r="C71" t="s">
        <v>12</v>
      </c>
      <c r="D71" t="s">
        <v>10</v>
      </c>
      <c r="E71">
        <v>2</v>
      </c>
      <c r="F71">
        <v>15.01</v>
      </c>
      <c r="G71">
        <v>2.09</v>
      </c>
      <c r="I71">
        <f t="shared" si="5"/>
        <v>1</v>
      </c>
      <c r="J71">
        <f t="shared" si="6"/>
        <v>1</v>
      </c>
      <c r="K71">
        <f t="shared" si="7"/>
        <v>3</v>
      </c>
      <c r="L71">
        <f t="shared" si="8"/>
        <v>1</v>
      </c>
      <c r="M71">
        <v>2</v>
      </c>
      <c r="N71">
        <v>15.01</v>
      </c>
      <c r="O71" s="23">
        <v>2.09</v>
      </c>
      <c r="U71" s="2">
        <v>0.67508094538181496</v>
      </c>
      <c r="V71">
        <f>N71*Regression!$B$23</f>
        <v>1.4148954142977175</v>
      </c>
      <c r="W71">
        <f>M71*Regression!$B$22</f>
        <v>0.34992874109401623</v>
      </c>
      <c r="X71">
        <f>I71*Regression!$B$18</f>
        <v>-3.6632514766371221E-2</v>
      </c>
      <c r="Y71">
        <f>J71*Regression!$B$19</f>
        <v>-7.2844330789933256E-2</v>
      </c>
      <c r="Z71">
        <f>K71*Regression!$B$20</f>
        <v>0.15901591494880721</v>
      </c>
      <c r="AA71">
        <f>L71*Regression!$B$21</f>
        <v>-0.11600626172099011</v>
      </c>
      <c r="AB71" s="25">
        <f t="shared" si="9"/>
        <v>2.373437908445061</v>
      </c>
    </row>
    <row r="72" spans="1:28" ht="15.5" x14ac:dyDescent="0.35">
      <c r="A72" t="s">
        <v>11</v>
      </c>
      <c r="B72" t="s">
        <v>8</v>
      </c>
      <c r="C72" t="s">
        <v>12</v>
      </c>
      <c r="D72" t="s">
        <v>10</v>
      </c>
      <c r="E72">
        <v>2</v>
      </c>
      <c r="F72">
        <v>12.02</v>
      </c>
      <c r="G72">
        <v>1.97</v>
      </c>
      <c r="I72">
        <f t="shared" si="5"/>
        <v>1</v>
      </c>
      <c r="J72">
        <f t="shared" si="6"/>
        <v>0</v>
      </c>
      <c r="K72">
        <f t="shared" si="7"/>
        <v>3</v>
      </c>
      <c r="L72">
        <f t="shared" si="8"/>
        <v>1</v>
      </c>
      <c r="M72">
        <v>2</v>
      </c>
      <c r="N72">
        <v>12.02</v>
      </c>
      <c r="O72" s="23">
        <v>1.97</v>
      </c>
      <c r="U72" s="2">
        <v>0.67508094538181496</v>
      </c>
      <c r="V72">
        <f>N72*Regression!$B$23</f>
        <v>1.1330474936614634</v>
      </c>
      <c r="W72">
        <f>M72*Regression!$B$22</f>
        <v>0.34992874109401623</v>
      </c>
      <c r="X72">
        <f>I72*Regression!$B$18</f>
        <v>-3.6632514766371221E-2</v>
      </c>
      <c r="Y72">
        <f>J72*Regression!$B$19</f>
        <v>0</v>
      </c>
      <c r="Z72">
        <f>K72*Regression!$B$20</f>
        <v>0.15901591494880721</v>
      </c>
      <c r="AA72">
        <f>L72*Regression!$B$21</f>
        <v>-0.11600626172099011</v>
      </c>
      <c r="AB72" s="25">
        <f t="shared" si="9"/>
        <v>2.1644343185987402</v>
      </c>
    </row>
    <row r="73" spans="1:28" ht="15.5" x14ac:dyDescent="0.35">
      <c r="A73" t="s">
        <v>7</v>
      </c>
      <c r="B73" t="s">
        <v>8</v>
      </c>
      <c r="C73" t="s">
        <v>12</v>
      </c>
      <c r="D73" t="s">
        <v>10</v>
      </c>
      <c r="E73">
        <v>3</v>
      </c>
      <c r="F73">
        <v>17.07</v>
      </c>
      <c r="G73">
        <v>3</v>
      </c>
      <c r="I73">
        <f t="shared" si="5"/>
        <v>0</v>
      </c>
      <c r="J73">
        <f t="shared" si="6"/>
        <v>0</v>
      </c>
      <c r="K73">
        <f t="shared" si="7"/>
        <v>3</v>
      </c>
      <c r="L73">
        <f t="shared" si="8"/>
        <v>1</v>
      </c>
      <c r="M73">
        <v>3</v>
      </c>
      <c r="N73">
        <v>17.07</v>
      </c>
      <c r="O73" s="23">
        <v>3</v>
      </c>
      <c r="U73" s="2">
        <v>0.67508094538181496</v>
      </c>
      <c r="V73">
        <f>N73*Regression!$B$23</f>
        <v>1.6090782626290498</v>
      </c>
      <c r="W73">
        <f>M73*Regression!$B$22</f>
        <v>0.52489311164102437</v>
      </c>
      <c r="X73">
        <f>I73*Regression!$B$18</f>
        <v>0</v>
      </c>
      <c r="Y73">
        <f>J73*Regression!$B$19</f>
        <v>0</v>
      </c>
      <c r="Z73">
        <f>K73*Regression!$B$20</f>
        <v>0.15901591494880721</v>
      </c>
      <c r="AA73">
        <f>L73*Regression!$B$21</f>
        <v>-0.11600626172099011</v>
      </c>
      <c r="AB73" s="25">
        <f t="shared" si="9"/>
        <v>2.8520619728797061</v>
      </c>
    </row>
    <row r="74" spans="1:28" ht="15.5" x14ac:dyDescent="0.35">
      <c r="A74" t="s">
        <v>7</v>
      </c>
      <c r="B74" t="s">
        <v>13</v>
      </c>
      <c r="C74" t="s">
        <v>12</v>
      </c>
      <c r="D74" t="s">
        <v>10</v>
      </c>
      <c r="E74">
        <v>2</v>
      </c>
      <c r="F74">
        <v>26.86</v>
      </c>
      <c r="G74">
        <v>3.14</v>
      </c>
      <c r="I74">
        <f t="shared" si="5"/>
        <v>0</v>
      </c>
      <c r="J74">
        <f t="shared" si="6"/>
        <v>1</v>
      </c>
      <c r="K74">
        <f t="shared" si="7"/>
        <v>3</v>
      </c>
      <c r="L74">
        <f t="shared" si="8"/>
        <v>1</v>
      </c>
      <c r="M74">
        <v>2</v>
      </c>
      <c r="N74">
        <v>26.86</v>
      </c>
      <c r="O74" s="23">
        <v>3.14</v>
      </c>
      <c r="U74" s="2">
        <v>0.67508094538181496</v>
      </c>
      <c r="V74">
        <f>N74*Regression!$B$23</f>
        <v>2.5319181097959156</v>
      </c>
      <c r="W74">
        <f>M74*Regression!$B$22</f>
        <v>0.34992874109401623</v>
      </c>
      <c r="X74">
        <f>I74*Regression!$B$18</f>
        <v>0</v>
      </c>
      <c r="Y74">
        <f>J74*Regression!$B$19</f>
        <v>-7.2844330789933256E-2</v>
      </c>
      <c r="Z74">
        <f>K74*Regression!$B$20</f>
        <v>0.15901591494880721</v>
      </c>
      <c r="AA74">
        <f>L74*Regression!$B$21</f>
        <v>-0.11600626172099011</v>
      </c>
      <c r="AB74" s="25">
        <f t="shared" si="9"/>
        <v>3.5270931187096304</v>
      </c>
    </row>
    <row r="75" spans="1:28" ht="15.5" x14ac:dyDescent="0.35">
      <c r="A75" t="s">
        <v>7</v>
      </c>
      <c r="B75" t="s">
        <v>13</v>
      </c>
      <c r="C75" t="s">
        <v>12</v>
      </c>
      <c r="D75" t="s">
        <v>10</v>
      </c>
      <c r="E75">
        <v>2</v>
      </c>
      <c r="F75">
        <v>25.28</v>
      </c>
      <c r="G75">
        <v>5</v>
      </c>
      <c r="I75">
        <f t="shared" si="5"/>
        <v>0</v>
      </c>
      <c r="J75">
        <f t="shared" si="6"/>
        <v>1</v>
      </c>
      <c r="K75">
        <f t="shared" si="7"/>
        <v>3</v>
      </c>
      <c r="L75">
        <f t="shared" si="8"/>
        <v>1</v>
      </c>
      <c r="M75">
        <v>2</v>
      </c>
      <c r="N75">
        <v>25.28</v>
      </c>
      <c r="O75" s="23">
        <v>5</v>
      </c>
      <c r="U75" s="2">
        <v>0.67508094538181496</v>
      </c>
      <c r="V75">
        <f>N75*Regression!$B$23</f>
        <v>2.3829817503961559</v>
      </c>
      <c r="W75">
        <f>M75*Regression!$B$22</f>
        <v>0.34992874109401623</v>
      </c>
      <c r="X75">
        <f>I75*Regression!$B$18</f>
        <v>0</v>
      </c>
      <c r="Y75">
        <f>J75*Regression!$B$19</f>
        <v>-7.2844330789933256E-2</v>
      </c>
      <c r="Z75">
        <f>K75*Regression!$B$20</f>
        <v>0.15901591494880721</v>
      </c>
      <c r="AA75">
        <f>L75*Regression!$B$21</f>
        <v>-0.11600626172099011</v>
      </c>
      <c r="AB75" s="25">
        <f t="shared" si="9"/>
        <v>3.3781567593098707</v>
      </c>
    </row>
    <row r="76" spans="1:28" ht="15.5" x14ac:dyDescent="0.35">
      <c r="A76" t="s">
        <v>7</v>
      </c>
      <c r="B76" t="s">
        <v>8</v>
      </c>
      <c r="C76" t="s">
        <v>12</v>
      </c>
      <c r="D76" t="s">
        <v>10</v>
      </c>
      <c r="E76">
        <v>2</v>
      </c>
      <c r="F76">
        <v>14.73</v>
      </c>
      <c r="G76">
        <v>2.2000000000000002</v>
      </c>
      <c r="I76">
        <f t="shared" si="5"/>
        <v>0</v>
      </c>
      <c r="J76">
        <f t="shared" si="6"/>
        <v>0</v>
      </c>
      <c r="K76">
        <f t="shared" si="7"/>
        <v>3</v>
      </c>
      <c r="L76">
        <f t="shared" si="8"/>
        <v>1</v>
      </c>
      <c r="M76">
        <v>2</v>
      </c>
      <c r="N76">
        <v>14.73</v>
      </c>
      <c r="O76" s="23">
        <v>2.2000000000000002</v>
      </c>
      <c r="U76" s="2">
        <v>0.67508094538181496</v>
      </c>
      <c r="V76">
        <f>N76*Regression!$B$23</f>
        <v>1.3885016290876335</v>
      </c>
      <c r="W76">
        <f>M76*Regression!$B$22</f>
        <v>0.34992874109401623</v>
      </c>
      <c r="X76">
        <f>I76*Regression!$B$18</f>
        <v>0</v>
      </c>
      <c r="Y76">
        <f>J76*Regression!$B$19</f>
        <v>0</v>
      </c>
      <c r="Z76">
        <f>K76*Regression!$B$20</f>
        <v>0.15901591494880721</v>
      </c>
      <c r="AA76">
        <f>L76*Regression!$B$21</f>
        <v>-0.11600626172099011</v>
      </c>
      <c r="AB76" s="25">
        <f t="shared" si="9"/>
        <v>2.4565209687912812</v>
      </c>
    </row>
    <row r="77" spans="1:28" ht="15.5" x14ac:dyDescent="0.35">
      <c r="A77" t="s">
        <v>11</v>
      </c>
      <c r="B77" t="s">
        <v>8</v>
      </c>
      <c r="C77" t="s">
        <v>12</v>
      </c>
      <c r="D77" t="s">
        <v>10</v>
      </c>
      <c r="E77">
        <v>2</v>
      </c>
      <c r="F77">
        <v>10.51</v>
      </c>
      <c r="G77">
        <v>1.25</v>
      </c>
      <c r="I77">
        <f t="shared" si="5"/>
        <v>1</v>
      </c>
      <c r="J77">
        <f t="shared" si="6"/>
        <v>0</v>
      </c>
      <c r="K77">
        <f t="shared" si="7"/>
        <v>3</v>
      </c>
      <c r="L77">
        <f t="shared" si="8"/>
        <v>1</v>
      </c>
      <c r="M77">
        <v>2</v>
      </c>
      <c r="N77">
        <v>10.51</v>
      </c>
      <c r="O77" s="23">
        <v>1.25</v>
      </c>
      <c r="U77" s="2">
        <v>0.67508094538181496</v>
      </c>
      <c r="V77">
        <f>N77*Regression!$B$23</f>
        <v>0.99070958056422465</v>
      </c>
      <c r="W77">
        <f>M77*Regression!$B$22</f>
        <v>0.34992874109401623</v>
      </c>
      <c r="X77">
        <f>I77*Regression!$B$18</f>
        <v>-3.6632514766371221E-2</v>
      </c>
      <c r="Y77">
        <f>J77*Regression!$B$19</f>
        <v>0</v>
      </c>
      <c r="Z77">
        <f>K77*Regression!$B$20</f>
        <v>0.15901591494880721</v>
      </c>
      <c r="AA77">
        <f>L77*Regression!$B$21</f>
        <v>-0.11600626172099011</v>
      </c>
      <c r="AB77" s="25">
        <f t="shared" si="9"/>
        <v>2.0220964055015012</v>
      </c>
    </row>
    <row r="78" spans="1:28" ht="15.5" x14ac:dyDescent="0.35">
      <c r="A78" t="s">
        <v>11</v>
      </c>
      <c r="B78" t="s">
        <v>13</v>
      </c>
      <c r="C78" t="s">
        <v>12</v>
      </c>
      <c r="D78" t="s">
        <v>10</v>
      </c>
      <c r="E78">
        <v>2</v>
      </c>
      <c r="F78">
        <v>17.920000000000002</v>
      </c>
      <c r="G78">
        <v>3.08</v>
      </c>
      <c r="I78">
        <f t="shared" si="5"/>
        <v>1</v>
      </c>
      <c r="J78">
        <f t="shared" si="6"/>
        <v>1</v>
      </c>
      <c r="K78">
        <f t="shared" si="7"/>
        <v>3</v>
      </c>
      <c r="L78">
        <f t="shared" si="8"/>
        <v>1</v>
      </c>
      <c r="M78">
        <v>2</v>
      </c>
      <c r="N78">
        <v>17.920000000000002</v>
      </c>
      <c r="O78" s="23">
        <v>3.08</v>
      </c>
      <c r="U78" s="2">
        <v>0.67508094538181496</v>
      </c>
      <c r="V78">
        <f>N78*Regression!$B$23</f>
        <v>1.6892022534453766</v>
      </c>
      <c r="W78">
        <f>M78*Regression!$B$22</f>
        <v>0.34992874109401623</v>
      </c>
      <c r="X78">
        <f>I78*Regression!$B$18</f>
        <v>-3.6632514766371221E-2</v>
      </c>
      <c r="Y78">
        <f>J78*Regression!$B$19</f>
        <v>-7.2844330789933256E-2</v>
      </c>
      <c r="Z78">
        <f>K78*Regression!$B$20</f>
        <v>0.15901591494880721</v>
      </c>
      <c r="AA78">
        <f>L78*Regression!$B$21</f>
        <v>-0.11600626172099011</v>
      </c>
      <c r="AB78" s="25">
        <f t="shared" si="9"/>
        <v>2.64774474759272</v>
      </c>
    </row>
    <row r="79" spans="1:28" ht="15.5" x14ac:dyDescent="0.35">
      <c r="A79" t="s">
        <v>11</v>
      </c>
      <c r="B79" t="s">
        <v>8</v>
      </c>
      <c r="C79" t="s">
        <v>14</v>
      </c>
      <c r="D79" t="s">
        <v>15</v>
      </c>
      <c r="E79">
        <v>4</v>
      </c>
      <c r="F79">
        <v>27.2</v>
      </c>
      <c r="G79">
        <v>4</v>
      </c>
      <c r="I79">
        <f t="shared" si="5"/>
        <v>1</v>
      </c>
      <c r="J79">
        <f t="shared" si="6"/>
        <v>0</v>
      </c>
      <c r="K79">
        <f t="shared" si="7"/>
        <v>1</v>
      </c>
      <c r="L79">
        <f t="shared" si="8"/>
        <v>0</v>
      </c>
      <c r="M79">
        <v>4</v>
      </c>
      <c r="N79">
        <v>27.2</v>
      </c>
      <c r="O79" s="23">
        <v>4</v>
      </c>
      <c r="U79" s="2">
        <v>0.67508094538181496</v>
      </c>
      <c r="V79">
        <f>N79*Regression!$B$23</f>
        <v>2.5639677061224462</v>
      </c>
      <c r="W79">
        <f>M79*Regression!$B$22</f>
        <v>0.69985748218803245</v>
      </c>
      <c r="X79">
        <f>I79*Regression!$B$18</f>
        <v>-3.6632514766371221E-2</v>
      </c>
      <c r="Y79">
        <f>J79*Regression!$B$19</f>
        <v>0</v>
      </c>
      <c r="Z79">
        <f>K79*Regression!$B$20</f>
        <v>5.3005304982935736E-2</v>
      </c>
      <c r="AA79">
        <f>L79*Regression!$B$21</f>
        <v>0</v>
      </c>
      <c r="AB79" s="25">
        <f t="shared" si="9"/>
        <v>3.9552789239088577</v>
      </c>
    </row>
    <row r="80" spans="1:28" ht="15.5" x14ac:dyDescent="0.35">
      <c r="A80" t="s">
        <v>11</v>
      </c>
      <c r="B80" t="s">
        <v>8</v>
      </c>
      <c r="C80" t="s">
        <v>14</v>
      </c>
      <c r="D80" t="s">
        <v>15</v>
      </c>
      <c r="E80">
        <v>2</v>
      </c>
      <c r="F80">
        <v>22.76</v>
      </c>
      <c r="G80">
        <v>3</v>
      </c>
      <c r="I80">
        <f t="shared" si="5"/>
        <v>1</v>
      </c>
      <c r="J80">
        <f t="shared" si="6"/>
        <v>0</v>
      </c>
      <c r="K80">
        <f t="shared" si="7"/>
        <v>1</v>
      </c>
      <c r="L80">
        <f t="shared" si="8"/>
        <v>0</v>
      </c>
      <c r="M80">
        <v>2</v>
      </c>
      <c r="N80">
        <v>22.76</v>
      </c>
      <c r="O80" s="23">
        <v>3</v>
      </c>
      <c r="U80" s="2">
        <v>0.67508094538181496</v>
      </c>
      <c r="V80">
        <f>N80*Regression!$B$23</f>
        <v>2.1454376835054001</v>
      </c>
      <c r="W80">
        <f>M80*Regression!$B$22</f>
        <v>0.34992874109401623</v>
      </c>
      <c r="X80">
        <f>I80*Regression!$B$18</f>
        <v>-3.6632514766371221E-2</v>
      </c>
      <c r="Y80">
        <f>J80*Regression!$B$19</f>
        <v>0</v>
      </c>
      <c r="Z80">
        <f>K80*Regression!$B$20</f>
        <v>5.3005304982935736E-2</v>
      </c>
      <c r="AA80">
        <f>L80*Regression!$B$21</f>
        <v>0</v>
      </c>
      <c r="AB80" s="25">
        <f t="shared" si="9"/>
        <v>3.1868201601977955</v>
      </c>
    </row>
    <row r="81" spans="1:28" ht="15.5" x14ac:dyDescent="0.35">
      <c r="A81" t="s">
        <v>11</v>
      </c>
      <c r="B81" t="s">
        <v>8</v>
      </c>
      <c r="C81" t="s">
        <v>14</v>
      </c>
      <c r="D81" t="s">
        <v>15</v>
      </c>
      <c r="E81">
        <v>2</v>
      </c>
      <c r="F81">
        <v>17.29</v>
      </c>
      <c r="G81">
        <v>2.71</v>
      </c>
      <c r="I81">
        <f t="shared" si="5"/>
        <v>1</v>
      </c>
      <c r="J81">
        <f t="shared" si="6"/>
        <v>0</v>
      </c>
      <c r="K81">
        <f t="shared" si="7"/>
        <v>1</v>
      </c>
      <c r="L81">
        <f t="shared" si="8"/>
        <v>0</v>
      </c>
      <c r="M81">
        <v>2</v>
      </c>
      <c r="N81">
        <v>17.29</v>
      </c>
      <c r="O81" s="23">
        <v>2.71</v>
      </c>
      <c r="U81" s="2">
        <v>0.67508094538181496</v>
      </c>
      <c r="V81">
        <f>N81*Regression!$B$23</f>
        <v>1.6298162367226874</v>
      </c>
      <c r="W81">
        <f>M81*Regression!$B$22</f>
        <v>0.34992874109401623</v>
      </c>
      <c r="X81">
        <f>I81*Regression!$B$18</f>
        <v>-3.6632514766371221E-2</v>
      </c>
      <c r="Y81">
        <f>J81*Regression!$B$19</f>
        <v>0</v>
      </c>
      <c r="Z81">
        <f>K81*Regression!$B$20</f>
        <v>5.3005304982935736E-2</v>
      </c>
      <c r="AA81">
        <f>L81*Regression!$B$21</f>
        <v>0</v>
      </c>
      <c r="AB81" s="25">
        <f t="shared" si="9"/>
        <v>2.671198713415083</v>
      </c>
    </row>
    <row r="82" spans="1:28" ht="15.5" x14ac:dyDescent="0.35">
      <c r="A82" t="s">
        <v>11</v>
      </c>
      <c r="B82" t="s">
        <v>13</v>
      </c>
      <c r="C82" t="s">
        <v>14</v>
      </c>
      <c r="D82" t="s">
        <v>15</v>
      </c>
      <c r="E82">
        <v>2</v>
      </c>
      <c r="F82">
        <v>19.440000000000001</v>
      </c>
      <c r="G82">
        <v>3</v>
      </c>
      <c r="I82">
        <f t="shared" si="5"/>
        <v>1</v>
      </c>
      <c r="J82">
        <f t="shared" si="6"/>
        <v>1</v>
      </c>
      <c r="K82">
        <f t="shared" si="7"/>
        <v>1</v>
      </c>
      <c r="L82">
        <f t="shared" si="8"/>
        <v>0</v>
      </c>
      <c r="M82">
        <v>2</v>
      </c>
      <c r="N82">
        <v>19.440000000000001</v>
      </c>
      <c r="O82" s="23">
        <v>3</v>
      </c>
      <c r="U82" s="2">
        <v>0.67508094538181496</v>
      </c>
      <c r="V82">
        <f>N82*Regression!$B$23</f>
        <v>1.8324828017286896</v>
      </c>
      <c r="W82">
        <f>M82*Regression!$B$22</f>
        <v>0.34992874109401623</v>
      </c>
      <c r="X82">
        <f>I82*Regression!$B$18</f>
        <v>-3.6632514766371221E-2</v>
      </c>
      <c r="Y82">
        <f>J82*Regression!$B$19</f>
        <v>-7.2844330789933256E-2</v>
      </c>
      <c r="Z82">
        <f>K82*Regression!$B$20</f>
        <v>5.3005304982935736E-2</v>
      </c>
      <c r="AA82">
        <f>L82*Regression!$B$21</f>
        <v>0</v>
      </c>
      <c r="AB82" s="25">
        <f t="shared" si="9"/>
        <v>2.8010209476311516</v>
      </c>
    </row>
    <row r="83" spans="1:28" ht="15.5" x14ac:dyDescent="0.35">
      <c r="A83" t="s">
        <v>11</v>
      </c>
      <c r="B83" t="s">
        <v>8</v>
      </c>
      <c r="C83" t="s">
        <v>14</v>
      </c>
      <c r="D83" t="s">
        <v>15</v>
      </c>
      <c r="E83">
        <v>2</v>
      </c>
      <c r="F83">
        <v>16.66</v>
      </c>
      <c r="G83">
        <v>3.4</v>
      </c>
      <c r="I83">
        <f t="shared" si="5"/>
        <v>1</v>
      </c>
      <c r="J83">
        <f t="shared" si="6"/>
        <v>0</v>
      </c>
      <c r="K83">
        <f t="shared" si="7"/>
        <v>1</v>
      </c>
      <c r="L83">
        <f t="shared" si="8"/>
        <v>0</v>
      </c>
      <c r="M83">
        <v>2</v>
      </c>
      <c r="N83">
        <v>16.66</v>
      </c>
      <c r="O83" s="23">
        <v>3.4</v>
      </c>
      <c r="U83" s="2">
        <v>0.67508094538181496</v>
      </c>
      <c r="V83">
        <f>N83*Regression!$B$23</f>
        <v>1.5704302199999984</v>
      </c>
      <c r="W83">
        <f>M83*Regression!$B$22</f>
        <v>0.34992874109401623</v>
      </c>
      <c r="X83">
        <f>I83*Regression!$B$18</f>
        <v>-3.6632514766371221E-2</v>
      </c>
      <c r="Y83">
        <f>J83*Regression!$B$19</f>
        <v>0</v>
      </c>
      <c r="Z83">
        <f>K83*Regression!$B$20</f>
        <v>5.3005304982935736E-2</v>
      </c>
      <c r="AA83">
        <f>L83*Regression!$B$21</f>
        <v>0</v>
      </c>
      <c r="AB83" s="25">
        <f t="shared" si="9"/>
        <v>2.611812696692394</v>
      </c>
    </row>
    <row r="84" spans="1:28" ht="15.5" x14ac:dyDescent="0.35">
      <c r="A84" t="s">
        <v>7</v>
      </c>
      <c r="B84" t="s">
        <v>8</v>
      </c>
      <c r="C84" t="s">
        <v>14</v>
      </c>
      <c r="D84" t="s">
        <v>15</v>
      </c>
      <c r="E84">
        <v>1</v>
      </c>
      <c r="F84">
        <v>10.07</v>
      </c>
      <c r="G84">
        <v>1.83</v>
      </c>
      <c r="I84">
        <f t="shared" si="5"/>
        <v>0</v>
      </c>
      <c r="J84">
        <f t="shared" si="6"/>
        <v>0</v>
      </c>
      <c r="K84">
        <f t="shared" si="7"/>
        <v>1</v>
      </c>
      <c r="L84">
        <f t="shared" si="8"/>
        <v>0</v>
      </c>
      <c r="M84">
        <v>1</v>
      </c>
      <c r="N84">
        <v>10.07</v>
      </c>
      <c r="O84" s="23">
        <v>1.83</v>
      </c>
      <c r="U84" s="2">
        <v>0.67508094538181496</v>
      </c>
      <c r="V84">
        <f>N84*Regression!$B$23</f>
        <v>0.9492336323769498</v>
      </c>
      <c r="W84">
        <f>M84*Regression!$B$22</f>
        <v>0.17496437054700811</v>
      </c>
      <c r="X84">
        <f>I84*Regression!$B$18</f>
        <v>0</v>
      </c>
      <c r="Y84">
        <f>J84*Regression!$B$19</f>
        <v>0</v>
      </c>
      <c r="Z84">
        <f>K84*Regression!$B$20</f>
        <v>5.3005304982935736E-2</v>
      </c>
      <c r="AA84">
        <f>L84*Regression!$B$21</f>
        <v>0</v>
      </c>
      <c r="AB84" s="25">
        <f t="shared" si="9"/>
        <v>1.8522842532887087</v>
      </c>
    </row>
    <row r="85" spans="1:28" ht="15.5" x14ac:dyDescent="0.35">
      <c r="A85" t="s">
        <v>11</v>
      </c>
      <c r="B85" t="s">
        <v>13</v>
      </c>
      <c r="C85" t="s">
        <v>14</v>
      </c>
      <c r="D85" t="s">
        <v>15</v>
      </c>
      <c r="E85">
        <v>2</v>
      </c>
      <c r="F85">
        <v>32.68</v>
      </c>
      <c r="G85">
        <v>5</v>
      </c>
      <c r="I85">
        <f t="shared" si="5"/>
        <v>1</v>
      </c>
      <c r="J85">
        <f t="shared" si="6"/>
        <v>1</v>
      </c>
      <c r="K85">
        <f t="shared" si="7"/>
        <v>1</v>
      </c>
      <c r="L85">
        <f t="shared" si="8"/>
        <v>0</v>
      </c>
      <c r="M85">
        <v>2</v>
      </c>
      <c r="N85">
        <v>32.68</v>
      </c>
      <c r="O85" s="23">
        <v>5</v>
      </c>
      <c r="U85" s="2">
        <v>0.67508094538181496</v>
      </c>
      <c r="V85">
        <f>N85*Regression!$B$23</f>
        <v>3.0805317880912333</v>
      </c>
      <c r="W85">
        <f>M85*Regression!$B$22</f>
        <v>0.34992874109401623</v>
      </c>
      <c r="X85">
        <f>I85*Regression!$B$18</f>
        <v>-3.6632514766371221E-2</v>
      </c>
      <c r="Y85">
        <f>J85*Regression!$B$19</f>
        <v>-7.2844330789933256E-2</v>
      </c>
      <c r="Z85">
        <f>K85*Regression!$B$20</f>
        <v>5.3005304982935736E-2</v>
      </c>
      <c r="AA85">
        <f>L85*Regression!$B$21</f>
        <v>0</v>
      </c>
      <c r="AB85" s="25">
        <f t="shared" si="9"/>
        <v>4.049069933993696</v>
      </c>
    </row>
    <row r="86" spans="1:28" ht="15.5" x14ac:dyDescent="0.35">
      <c r="A86" t="s">
        <v>11</v>
      </c>
      <c r="B86" t="s">
        <v>8</v>
      </c>
      <c r="C86" t="s">
        <v>14</v>
      </c>
      <c r="D86" t="s">
        <v>15</v>
      </c>
      <c r="E86">
        <v>2</v>
      </c>
      <c r="F86">
        <v>15.98</v>
      </c>
      <c r="G86">
        <v>2.0299999999999998</v>
      </c>
      <c r="I86">
        <f t="shared" si="5"/>
        <v>1</v>
      </c>
      <c r="J86">
        <f t="shared" si="6"/>
        <v>0</v>
      </c>
      <c r="K86">
        <f t="shared" si="7"/>
        <v>1</v>
      </c>
      <c r="L86">
        <f t="shared" si="8"/>
        <v>0</v>
      </c>
      <c r="M86">
        <v>2</v>
      </c>
      <c r="N86">
        <v>15.98</v>
      </c>
      <c r="O86" s="23">
        <v>2.0299999999999998</v>
      </c>
      <c r="U86" s="2">
        <v>0.67508094538181496</v>
      </c>
      <c r="V86">
        <f>N86*Regression!$B$23</f>
        <v>1.5063310273469372</v>
      </c>
      <c r="W86">
        <f>M86*Regression!$B$22</f>
        <v>0.34992874109401623</v>
      </c>
      <c r="X86">
        <f>I86*Regression!$B$18</f>
        <v>-3.6632514766371221E-2</v>
      </c>
      <c r="Y86">
        <f>J86*Regression!$B$19</f>
        <v>0</v>
      </c>
      <c r="Z86">
        <f>K86*Regression!$B$20</f>
        <v>5.3005304982935736E-2</v>
      </c>
      <c r="AA86">
        <f>L86*Regression!$B$21</f>
        <v>0</v>
      </c>
      <c r="AB86" s="25">
        <f t="shared" si="9"/>
        <v>2.5477135040393328</v>
      </c>
    </row>
    <row r="87" spans="1:28" ht="15.5" x14ac:dyDescent="0.35">
      <c r="A87" t="s">
        <v>7</v>
      </c>
      <c r="B87" t="s">
        <v>8</v>
      </c>
      <c r="C87" t="s">
        <v>14</v>
      </c>
      <c r="D87" t="s">
        <v>15</v>
      </c>
      <c r="E87">
        <v>4</v>
      </c>
      <c r="F87">
        <v>34.83</v>
      </c>
      <c r="G87">
        <v>5.17</v>
      </c>
      <c r="I87">
        <f t="shared" si="5"/>
        <v>0</v>
      </c>
      <c r="J87">
        <f t="shared" si="6"/>
        <v>0</v>
      </c>
      <c r="K87">
        <f t="shared" si="7"/>
        <v>1</v>
      </c>
      <c r="L87">
        <f t="shared" si="8"/>
        <v>0</v>
      </c>
      <c r="M87">
        <v>4</v>
      </c>
      <c r="N87">
        <v>34.83</v>
      </c>
      <c r="O87" s="23">
        <v>5.17</v>
      </c>
      <c r="U87" s="2">
        <v>0.67508094538181496</v>
      </c>
      <c r="V87">
        <f>N87*Regression!$B$23</f>
        <v>3.2831983530972351</v>
      </c>
      <c r="W87">
        <f>M87*Regression!$B$22</f>
        <v>0.69985748218803245</v>
      </c>
      <c r="X87">
        <f>I87*Regression!$B$18</f>
        <v>0</v>
      </c>
      <c r="Y87">
        <f>J87*Regression!$B$19</f>
        <v>0</v>
      </c>
      <c r="Z87">
        <f>K87*Regression!$B$20</f>
        <v>5.3005304982935736E-2</v>
      </c>
      <c r="AA87">
        <f>L87*Regression!$B$21</f>
        <v>0</v>
      </c>
      <c r="AB87" s="25">
        <f t="shared" si="9"/>
        <v>4.7111420856500184</v>
      </c>
    </row>
    <row r="88" spans="1:28" ht="15.5" x14ac:dyDescent="0.35">
      <c r="A88" t="s">
        <v>11</v>
      </c>
      <c r="B88" t="s">
        <v>8</v>
      </c>
      <c r="C88" t="s">
        <v>14</v>
      </c>
      <c r="D88" t="s">
        <v>15</v>
      </c>
      <c r="E88">
        <v>2</v>
      </c>
      <c r="F88">
        <v>13.03</v>
      </c>
      <c r="G88">
        <v>2</v>
      </c>
      <c r="I88">
        <f t="shared" si="5"/>
        <v>1</v>
      </c>
      <c r="J88">
        <f t="shared" si="6"/>
        <v>0</v>
      </c>
      <c r="K88">
        <f t="shared" si="7"/>
        <v>1</v>
      </c>
      <c r="L88">
        <f t="shared" si="8"/>
        <v>0</v>
      </c>
      <c r="M88">
        <v>2</v>
      </c>
      <c r="N88">
        <v>13.03</v>
      </c>
      <c r="O88" s="23">
        <v>2</v>
      </c>
      <c r="U88" s="2">
        <v>0.67508094538181496</v>
      </c>
      <c r="V88">
        <f>N88*Regression!$B$23</f>
        <v>1.2282536474549806</v>
      </c>
      <c r="W88">
        <f>M88*Regression!$B$22</f>
        <v>0.34992874109401623</v>
      </c>
      <c r="X88">
        <f>I88*Regression!$B$18</f>
        <v>-3.6632514766371221E-2</v>
      </c>
      <c r="Y88">
        <f>J88*Regression!$B$19</f>
        <v>0</v>
      </c>
      <c r="Z88">
        <f>K88*Regression!$B$20</f>
        <v>5.3005304982935736E-2</v>
      </c>
      <c r="AA88">
        <f>L88*Regression!$B$21</f>
        <v>0</v>
      </c>
      <c r="AB88" s="25">
        <f t="shared" si="9"/>
        <v>2.2696361241473761</v>
      </c>
    </row>
    <row r="89" spans="1:28" ht="15.5" x14ac:dyDescent="0.35">
      <c r="A89" t="s">
        <v>11</v>
      </c>
      <c r="B89" t="s">
        <v>8</v>
      </c>
      <c r="C89" t="s">
        <v>14</v>
      </c>
      <c r="D89" t="s">
        <v>15</v>
      </c>
      <c r="E89">
        <v>2</v>
      </c>
      <c r="F89">
        <v>18.28</v>
      </c>
      <c r="G89">
        <v>4</v>
      </c>
      <c r="I89">
        <f t="shared" si="5"/>
        <v>1</v>
      </c>
      <c r="J89">
        <f t="shared" si="6"/>
        <v>0</v>
      </c>
      <c r="K89">
        <f t="shared" si="7"/>
        <v>1</v>
      </c>
      <c r="L89">
        <f t="shared" si="8"/>
        <v>0</v>
      </c>
      <c r="M89">
        <v>2</v>
      </c>
      <c r="N89">
        <v>18.28</v>
      </c>
      <c r="O89" s="23">
        <v>4</v>
      </c>
      <c r="U89" s="2">
        <v>0.67508094538181496</v>
      </c>
      <c r="V89">
        <f>N89*Regression!$B$23</f>
        <v>1.723137120144056</v>
      </c>
      <c r="W89">
        <f>M89*Regression!$B$22</f>
        <v>0.34992874109401623</v>
      </c>
      <c r="X89">
        <f>I89*Regression!$B$18</f>
        <v>-3.6632514766371221E-2</v>
      </c>
      <c r="Y89">
        <f>J89*Regression!$B$19</f>
        <v>0</v>
      </c>
      <c r="Z89">
        <f>K89*Regression!$B$20</f>
        <v>5.3005304982935736E-2</v>
      </c>
      <c r="AA89">
        <f>L89*Regression!$B$21</f>
        <v>0</v>
      </c>
      <c r="AB89" s="25">
        <f t="shared" si="9"/>
        <v>2.7645195968364513</v>
      </c>
    </row>
    <row r="90" spans="1:28" ht="15.5" x14ac:dyDescent="0.35">
      <c r="A90" t="s">
        <v>11</v>
      </c>
      <c r="B90" t="s">
        <v>8</v>
      </c>
      <c r="C90" t="s">
        <v>14</v>
      </c>
      <c r="D90" t="s">
        <v>15</v>
      </c>
      <c r="E90">
        <v>2</v>
      </c>
      <c r="F90">
        <v>24.71</v>
      </c>
      <c r="G90">
        <v>5.85</v>
      </c>
      <c r="I90">
        <f t="shared" si="5"/>
        <v>1</v>
      </c>
      <c r="J90">
        <f t="shared" si="6"/>
        <v>0</v>
      </c>
      <c r="K90">
        <f t="shared" si="7"/>
        <v>1</v>
      </c>
      <c r="L90">
        <f t="shared" si="8"/>
        <v>0</v>
      </c>
      <c r="M90">
        <v>2</v>
      </c>
      <c r="N90">
        <v>24.71</v>
      </c>
      <c r="O90" s="23">
        <v>5.85</v>
      </c>
      <c r="U90" s="2">
        <v>0.67508094538181496</v>
      </c>
      <c r="V90">
        <f>N90*Regression!$B$23</f>
        <v>2.3292515447899138</v>
      </c>
      <c r="W90">
        <f>M90*Regression!$B$22</f>
        <v>0.34992874109401623</v>
      </c>
      <c r="X90">
        <f>I90*Regression!$B$18</f>
        <v>-3.6632514766371221E-2</v>
      </c>
      <c r="Y90">
        <f>J90*Regression!$B$19</f>
        <v>0</v>
      </c>
      <c r="Z90">
        <f>K90*Regression!$B$20</f>
        <v>5.3005304982935736E-2</v>
      </c>
      <c r="AA90">
        <f>L90*Regression!$B$21</f>
        <v>0</v>
      </c>
      <c r="AB90" s="25">
        <f t="shared" si="9"/>
        <v>3.3706340214823092</v>
      </c>
    </row>
    <row r="91" spans="1:28" ht="15.5" x14ac:dyDescent="0.35">
      <c r="A91" t="s">
        <v>11</v>
      </c>
      <c r="B91" t="s">
        <v>8</v>
      </c>
      <c r="C91" t="s">
        <v>14</v>
      </c>
      <c r="D91" t="s">
        <v>15</v>
      </c>
      <c r="E91">
        <v>2</v>
      </c>
      <c r="F91">
        <v>21.16</v>
      </c>
      <c r="G91">
        <v>3</v>
      </c>
      <c r="I91">
        <f t="shared" si="5"/>
        <v>1</v>
      </c>
      <c r="J91">
        <f t="shared" si="6"/>
        <v>0</v>
      </c>
      <c r="K91">
        <f t="shared" si="7"/>
        <v>1</v>
      </c>
      <c r="L91">
        <f t="shared" si="8"/>
        <v>0</v>
      </c>
      <c r="M91">
        <v>2</v>
      </c>
      <c r="N91">
        <v>21.16</v>
      </c>
      <c r="O91" s="23">
        <v>3</v>
      </c>
      <c r="U91" s="2">
        <v>0.67508094538181496</v>
      </c>
      <c r="V91">
        <f>N91*Regression!$B$23</f>
        <v>1.9946160537334914</v>
      </c>
      <c r="W91">
        <f>M91*Regression!$B$22</f>
        <v>0.34992874109401623</v>
      </c>
      <c r="X91">
        <f>I91*Regression!$B$18</f>
        <v>-3.6632514766371221E-2</v>
      </c>
      <c r="Y91">
        <f>J91*Regression!$B$19</f>
        <v>0</v>
      </c>
      <c r="Z91">
        <f>K91*Regression!$B$20</f>
        <v>5.3005304982935736E-2</v>
      </c>
      <c r="AA91">
        <f>L91*Regression!$B$21</f>
        <v>0</v>
      </c>
      <c r="AB91" s="25">
        <f t="shared" si="9"/>
        <v>3.0359985304258865</v>
      </c>
    </row>
    <row r="92" spans="1:28" ht="15.5" x14ac:dyDescent="0.35">
      <c r="A92" t="s">
        <v>11</v>
      </c>
      <c r="B92" t="s">
        <v>13</v>
      </c>
      <c r="C92" t="s">
        <v>16</v>
      </c>
      <c r="D92" t="s">
        <v>10</v>
      </c>
      <c r="E92">
        <v>2</v>
      </c>
      <c r="F92">
        <v>28.97</v>
      </c>
      <c r="G92">
        <v>3</v>
      </c>
      <c r="I92">
        <f t="shared" si="5"/>
        <v>1</v>
      </c>
      <c r="J92">
        <f t="shared" si="6"/>
        <v>1</v>
      </c>
      <c r="K92">
        <f t="shared" si="7"/>
        <v>2</v>
      </c>
      <c r="L92">
        <f t="shared" si="8"/>
        <v>1</v>
      </c>
      <c r="M92">
        <v>2</v>
      </c>
      <c r="N92">
        <v>28.97</v>
      </c>
      <c r="O92" s="23">
        <v>3</v>
      </c>
      <c r="U92" s="2">
        <v>0.67508094538181496</v>
      </c>
      <c r="V92">
        <f>N92*Regression!$B$23</f>
        <v>2.7308141340576202</v>
      </c>
      <c r="W92">
        <f>M92*Regression!$B$22</f>
        <v>0.34992874109401623</v>
      </c>
      <c r="X92">
        <f>I92*Regression!$B$18</f>
        <v>-3.6632514766371221E-2</v>
      </c>
      <c r="Y92">
        <f>J92*Regression!$B$19</f>
        <v>-7.2844330789933256E-2</v>
      </c>
      <c r="Z92">
        <f>K92*Regression!$B$20</f>
        <v>0.10601060996587147</v>
      </c>
      <c r="AA92">
        <f>L92*Regression!$B$21</f>
        <v>-0.11600626172099011</v>
      </c>
      <c r="AB92" s="25">
        <f t="shared" si="9"/>
        <v>3.6363513232220281</v>
      </c>
    </row>
    <row r="93" spans="1:28" ht="15.5" x14ac:dyDescent="0.35">
      <c r="A93" t="s">
        <v>11</v>
      </c>
      <c r="B93" t="s">
        <v>8</v>
      </c>
      <c r="C93" t="s">
        <v>16</v>
      </c>
      <c r="D93" t="s">
        <v>10</v>
      </c>
      <c r="E93">
        <v>2</v>
      </c>
      <c r="F93">
        <v>22.49</v>
      </c>
      <c r="G93">
        <v>3.5</v>
      </c>
      <c r="I93">
        <f t="shared" si="5"/>
        <v>1</v>
      </c>
      <c r="J93">
        <f t="shared" si="6"/>
        <v>0</v>
      </c>
      <c r="K93">
        <f t="shared" si="7"/>
        <v>2</v>
      </c>
      <c r="L93">
        <f t="shared" si="8"/>
        <v>1</v>
      </c>
      <c r="M93">
        <v>2</v>
      </c>
      <c r="N93">
        <v>22.49</v>
      </c>
      <c r="O93" s="23">
        <v>3.5</v>
      </c>
      <c r="U93" s="2">
        <v>0.67508094538181496</v>
      </c>
      <c r="V93">
        <f>N93*Regression!$B$23</f>
        <v>2.1199865334813901</v>
      </c>
      <c r="W93">
        <f>M93*Regression!$B$22</f>
        <v>0.34992874109401623</v>
      </c>
      <c r="X93">
        <f>I93*Regression!$B$18</f>
        <v>-3.6632514766371221E-2</v>
      </c>
      <c r="Y93">
        <f>J93*Regression!$B$19</f>
        <v>0</v>
      </c>
      <c r="Z93">
        <f>K93*Regression!$B$20</f>
        <v>0.10601060996587147</v>
      </c>
      <c r="AA93">
        <f>L93*Regression!$B$21</f>
        <v>-0.11600626172099011</v>
      </c>
      <c r="AB93" s="25">
        <f t="shared" si="9"/>
        <v>3.0983680534357312</v>
      </c>
    </row>
    <row r="94" spans="1:28" ht="15.5" x14ac:dyDescent="0.35">
      <c r="A94" t="s">
        <v>7</v>
      </c>
      <c r="B94" t="s">
        <v>13</v>
      </c>
      <c r="C94" t="s">
        <v>16</v>
      </c>
      <c r="D94" t="s">
        <v>10</v>
      </c>
      <c r="E94">
        <v>2</v>
      </c>
      <c r="F94">
        <v>5.75</v>
      </c>
      <c r="G94">
        <v>1</v>
      </c>
      <c r="I94">
        <f t="shared" si="5"/>
        <v>0</v>
      </c>
      <c r="J94">
        <f t="shared" si="6"/>
        <v>1</v>
      </c>
      <c r="K94">
        <f t="shared" si="7"/>
        <v>2</v>
      </c>
      <c r="L94">
        <f t="shared" si="8"/>
        <v>1</v>
      </c>
      <c r="M94">
        <v>2</v>
      </c>
      <c r="N94">
        <v>5.75</v>
      </c>
      <c r="O94" s="23">
        <v>1</v>
      </c>
      <c r="U94" s="2">
        <v>0.67508094538181496</v>
      </c>
      <c r="V94">
        <f>N94*Regression!$B$23</f>
        <v>0.54201523199279655</v>
      </c>
      <c r="W94">
        <f>M94*Regression!$B$22</f>
        <v>0.34992874109401623</v>
      </c>
      <c r="X94">
        <f>I94*Regression!$B$18</f>
        <v>0</v>
      </c>
      <c r="Y94">
        <f>J94*Regression!$B$19</f>
        <v>-7.2844330789933256E-2</v>
      </c>
      <c r="Z94">
        <f>K94*Regression!$B$20</f>
        <v>0.10601060996587147</v>
      </c>
      <c r="AA94">
        <f>L94*Regression!$B$21</f>
        <v>-0.11600626172099011</v>
      </c>
      <c r="AB94" s="25">
        <f t="shared" si="9"/>
        <v>1.4841849359235759</v>
      </c>
    </row>
    <row r="95" spans="1:28" ht="15.5" x14ac:dyDescent="0.35">
      <c r="A95" t="s">
        <v>7</v>
      </c>
      <c r="B95" t="s">
        <v>13</v>
      </c>
      <c r="C95" t="s">
        <v>16</v>
      </c>
      <c r="D95" t="s">
        <v>10</v>
      </c>
      <c r="E95">
        <v>2</v>
      </c>
      <c r="F95">
        <v>16.32</v>
      </c>
      <c r="G95">
        <v>4.3</v>
      </c>
      <c r="I95">
        <f t="shared" si="5"/>
        <v>0</v>
      </c>
      <c r="J95">
        <f t="shared" si="6"/>
        <v>1</v>
      </c>
      <c r="K95">
        <f t="shared" si="7"/>
        <v>2</v>
      </c>
      <c r="L95">
        <f t="shared" si="8"/>
        <v>1</v>
      </c>
      <c r="M95">
        <v>2</v>
      </c>
      <c r="N95">
        <v>16.32</v>
      </c>
      <c r="O95" s="23">
        <v>4.3</v>
      </c>
      <c r="U95" s="2">
        <v>0.67508094538181496</v>
      </c>
      <c r="V95">
        <f>N95*Regression!$B$23</f>
        <v>1.5383806236734678</v>
      </c>
      <c r="W95">
        <f>M95*Regression!$B$22</f>
        <v>0.34992874109401623</v>
      </c>
      <c r="X95">
        <f>I95*Regression!$B$18</f>
        <v>0</v>
      </c>
      <c r="Y95">
        <f>J95*Regression!$B$19</f>
        <v>-7.2844330789933256E-2</v>
      </c>
      <c r="Z95">
        <f>K95*Regression!$B$20</f>
        <v>0.10601060996587147</v>
      </c>
      <c r="AA95">
        <f>L95*Regression!$B$21</f>
        <v>-0.11600626172099011</v>
      </c>
      <c r="AB95" s="25">
        <f t="shared" si="9"/>
        <v>2.4805503276042469</v>
      </c>
    </row>
    <row r="96" spans="1:28" ht="15.5" x14ac:dyDescent="0.35">
      <c r="A96" t="s">
        <v>7</v>
      </c>
      <c r="B96" t="s">
        <v>8</v>
      </c>
      <c r="C96" t="s">
        <v>16</v>
      </c>
      <c r="D96" t="s">
        <v>10</v>
      </c>
      <c r="E96">
        <v>2</v>
      </c>
      <c r="F96">
        <v>22.75</v>
      </c>
      <c r="G96">
        <v>3.25</v>
      </c>
      <c r="I96">
        <f t="shared" si="5"/>
        <v>0</v>
      </c>
      <c r="J96">
        <f t="shared" si="6"/>
        <v>0</v>
      </c>
      <c r="K96">
        <f t="shared" si="7"/>
        <v>2</v>
      </c>
      <c r="L96">
        <f t="shared" si="8"/>
        <v>1</v>
      </c>
      <c r="M96">
        <v>2</v>
      </c>
      <c r="N96">
        <v>22.75</v>
      </c>
      <c r="O96" s="23">
        <v>3.25</v>
      </c>
      <c r="U96" s="2">
        <v>0.67508094538181496</v>
      </c>
      <c r="V96">
        <f>N96*Regression!$B$23</f>
        <v>2.1444950483193255</v>
      </c>
      <c r="W96">
        <f>M96*Regression!$B$22</f>
        <v>0.34992874109401623</v>
      </c>
      <c r="X96">
        <f>I96*Regression!$B$18</f>
        <v>0</v>
      </c>
      <c r="Y96">
        <f>J96*Regression!$B$19</f>
        <v>0</v>
      </c>
      <c r="Z96">
        <f>K96*Regression!$B$20</f>
        <v>0.10601060996587147</v>
      </c>
      <c r="AA96">
        <f>L96*Regression!$B$21</f>
        <v>-0.11600626172099011</v>
      </c>
      <c r="AB96" s="25">
        <f t="shared" si="9"/>
        <v>3.1595090830400379</v>
      </c>
    </row>
    <row r="97" spans="1:28" ht="15.5" x14ac:dyDescent="0.35">
      <c r="A97" t="s">
        <v>11</v>
      </c>
      <c r="B97" t="s">
        <v>13</v>
      </c>
      <c r="C97" t="s">
        <v>16</v>
      </c>
      <c r="D97" t="s">
        <v>10</v>
      </c>
      <c r="E97">
        <v>4</v>
      </c>
      <c r="F97">
        <v>40.17</v>
      </c>
      <c r="G97">
        <v>4.7300000000000004</v>
      </c>
      <c r="I97">
        <f t="shared" si="5"/>
        <v>1</v>
      </c>
      <c r="J97">
        <f t="shared" si="6"/>
        <v>1</v>
      </c>
      <c r="K97">
        <f t="shared" si="7"/>
        <v>2</v>
      </c>
      <c r="L97">
        <f t="shared" si="8"/>
        <v>1</v>
      </c>
      <c r="M97">
        <v>4</v>
      </c>
      <c r="N97">
        <v>40.17</v>
      </c>
      <c r="O97" s="23">
        <v>4.7300000000000004</v>
      </c>
      <c r="U97" s="2">
        <v>0.67508094538181496</v>
      </c>
      <c r="V97">
        <f>N97*Regression!$B$23</f>
        <v>3.7865655424609805</v>
      </c>
      <c r="W97">
        <f>M97*Regression!$B$22</f>
        <v>0.69985748218803245</v>
      </c>
      <c r="X97">
        <f>I97*Regression!$B$18</f>
        <v>-3.6632514766371221E-2</v>
      </c>
      <c r="Y97">
        <f>J97*Regression!$B$19</f>
        <v>-7.2844330789933256E-2</v>
      </c>
      <c r="Z97">
        <f>K97*Regression!$B$20</f>
        <v>0.10601060996587147</v>
      </c>
      <c r="AA97">
        <f>L97*Regression!$B$21</f>
        <v>-0.11600626172099011</v>
      </c>
      <c r="AB97" s="25">
        <f t="shared" si="9"/>
        <v>5.0420314727194047</v>
      </c>
    </row>
    <row r="98" spans="1:28" ht="15.5" x14ac:dyDescent="0.35">
      <c r="A98" t="s">
        <v>11</v>
      </c>
      <c r="B98" t="s">
        <v>13</v>
      </c>
      <c r="C98" t="s">
        <v>16</v>
      </c>
      <c r="D98" t="s">
        <v>10</v>
      </c>
      <c r="E98">
        <v>2</v>
      </c>
      <c r="F98">
        <v>27.28</v>
      </c>
      <c r="G98">
        <v>4</v>
      </c>
      <c r="I98">
        <f t="shared" si="5"/>
        <v>1</v>
      </c>
      <c r="J98">
        <f t="shared" si="6"/>
        <v>1</v>
      </c>
      <c r="K98">
        <f t="shared" si="7"/>
        <v>2</v>
      </c>
      <c r="L98">
        <f t="shared" si="8"/>
        <v>1</v>
      </c>
      <c r="M98">
        <v>2</v>
      </c>
      <c r="N98">
        <v>27.28</v>
      </c>
      <c r="O98" s="23">
        <v>4</v>
      </c>
      <c r="U98" s="2">
        <v>0.67508094538181496</v>
      </c>
      <c r="V98">
        <f>N98*Regression!$B$23</f>
        <v>2.5715087876110418</v>
      </c>
      <c r="W98">
        <f>M98*Regression!$B$22</f>
        <v>0.34992874109401623</v>
      </c>
      <c r="X98">
        <f>I98*Regression!$B$18</f>
        <v>-3.6632514766371221E-2</v>
      </c>
      <c r="Y98">
        <f>J98*Regression!$B$19</f>
        <v>-7.2844330789933256E-2</v>
      </c>
      <c r="Z98">
        <f>K98*Regression!$B$20</f>
        <v>0.10601060996587147</v>
      </c>
      <c r="AA98">
        <f>L98*Regression!$B$21</f>
        <v>-0.11600626172099011</v>
      </c>
      <c r="AB98" s="25">
        <f t="shared" si="9"/>
        <v>3.4770459767754498</v>
      </c>
    </row>
    <row r="99" spans="1:28" ht="15.5" x14ac:dyDescent="0.35">
      <c r="A99" t="s">
        <v>11</v>
      </c>
      <c r="B99" t="s">
        <v>13</v>
      </c>
      <c r="C99" t="s">
        <v>16</v>
      </c>
      <c r="D99" t="s">
        <v>10</v>
      </c>
      <c r="E99">
        <v>2</v>
      </c>
      <c r="F99">
        <v>12.03</v>
      </c>
      <c r="G99">
        <v>1.5</v>
      </c>
      <c r="I99">
        <f t="shared" si="5"/>
        <v>1</v>
      </c>
      <c r="J99">
        <f t="shared" si="6"/>
        <v>1</v>
      </c>
      <c r="K99">
        <f t="shared" si="7"/>
        <v>2</v>
      </c>
      <c r="L99">
        <f t="shared" si="8"/>
        <v>1</v>
      </c>
      <c r="M99">
        <v>2</v>
      </c>
      <c r="N99">
        <v>12.03</v>
      </c>
      <c r="O99" s="23">
        <v>1.5</v>
      </c>
      <c r="U99" s="2">
        <v>0.67508094538181496</v>
      </c>
      <c r="V99">
        <f>N99*Regression!$B$23</f>
        <v>1.1339901288475378</v>
      </c>
      <c r="W99">
        <f>M99*Regression!$B$22</f>
        <v>0.34992874109401623</v>
      </c>
      <c r="X99">
        <f>I99*Regression!$B$18</f>
        <v>-3.6632514766371221E-2</v>
      </c>
      <c r="Y99">
        <f>J99*Regression!$B$19</f>
        <v>-7.2844330789933256E-2</v>
      </c>
      <c r="Z99">
        <f>K99*Regression!$B$20</f>
        <v>0.10601060996587147</v>
      </c>
      <c r="AA99">
        <f>L99*Regression!$B$21</f>
        <v>-0.11600626172099011</v>
      </c>
      <c r="AB99" s="25">
        <f t="shared" si="9"/>
        <v>2.0395273180119458</v>
      </c>
    </row>
    <row r="100" spans="1:28" ht="15.5" x14ac:dyDescent="0.35">
      <c r="A100" t="s">
        <v>11</v>
      </c>
      <c r="B100" t="s">
        <v>13</v>
      </c>
      <c r="C100" t="s">
        <v>16</v>
      </c>
      <c r="D100" t="s">
        <v>10</v>
      </c>
      <c r="E100">
        <v>2</v>
      </c>
      <c r="F100">
        <v>21.01</v>
      </c>
      <c r="G100">
        <v>3</v>
      </c>
      <c r="I100">
        <f t="shared" si="5"/>
        <v>1</v>
      </c>
      <c r="J100">
        <f t="shared" si="6"/>
        <v>1</v>
      </c>
      <c r="K100">
        <f t="shared" si="7"/>
        <v>2</v>
      </c>
      <c r="L100">
        <f t="shared" si="8"/>
        <v>1</v>
      </c>
      <c r="M100">
        <v>2</v>
      </c>
      <c r="N100">
        <v>21.01</v>
      </c>
      <c r="O100" s="23">
        <v>3</v>
      </c>
      <c r="U100" s="2">
        <v>0.67508094538181496</v>
      </c>
      <c r="V100">
        <f>N100*Regression!$B$23</f>
        <v>1.9804765259423751</v>
      </c>
      <c r="W100">
        <f>M100*Regression!$B$22</f>
        <v>0.34992874109401623</v>
      </c>
      <c r="X100">
        <f>I100*Regression!$B$18</f>
        <v>-3.6632514766371221E-2</v>
      </c>
      <c r="Y100">
        <f>J100*Regression!$B$19</f>
        <v>-7.2844330789933256E-2</v>
      </c>
      <c r="Z100">
        <f>K100*Regression!$B$20</f>
        <v>0.10601060996587147</v>
      </c>
      <c r="AA100">
        <f>L100*Regression!$B$21</f>
        <v>-0.11600626172099011</v>
      </c>
      <c r="AB100" s="25">
        <f t="shared" si="9"/>
        <v>2.8860137151067833</v>
      </c>
    </row>
    <row r="101" spans="1:28" ht="15.5" x14ac:dyDescent="0.35">
      <c r="A101" t="s">
        <v>11</v>
      </c>
      <c r="B101" t="s">
        <v>8</v>
      </c>
      <c r="C101" t="s">
        <v>16</v>
      </c>
      <c r="D101" t="s">
        <v>10</v>
      </c>
      <c r="E101">
        <v>2</v>
      </c>
      <c r="F101">
        <v>12.46</v>
      </c>
      <c r="G101">
        <v>1.5</v>
      </c>
      <c r="I101">
        <f t="shared" si="5"/>
        <v>1</v>
      </c>
      <c r="J101">
        <f t="shared" si="6"/>
        <v>0</v>
      </c>
      <c r="K101">
        <f t="shared" si="7"/>
        <v>2</v>
      </c>
      <c r="L101">
        <f t="shared" si="8"/>
        <v>1</v>
      </c>
      <c r="M101">
        <v>2</v>
      </c>
      <c r="N101">
        <v>12.46</v>
      </c>
      <c r="O101" s="23">
        <v>1.5</v>
      </c>
      <c r="U101" s="2">
        <v>0.67508094538181496</v>
      </c>
      <c r="V101">
        <f>N101*Regression!$B$23</f>
        <v>1.1745234418487382</v>
      </c>
      <c r="W101">
        <f>M101*Regression!$B$22</f>
        <v>0.34992874109401623</v>
      </c>
      <c r="X101">
        <f>I101*Regression!$B$18</f>
        <v>-3.6632514766371221E-2</v>
      </c>
      <c r="Y101">
        <f>J101*Regression!$B$19</f>
        <v>0</v>
      </c>
      <c r="Z101">
        <f>K101*Regression!$B$20</f>
        <v>0.10601060996587147</v>
      </c>
      <c r="AA101">
        <f>L101*Regression!$B$21</f>
        <v>-0.11600626172099011</v>
      </c>
      <c r="AB101" s="25">
        <f t="shared" si="9"/>
        <v>2.1529049618030793</v>
      </c>
    </row>
    <row r="102" spans="1:28" ht="15.5" x14ac:dyDescent="0.35">
      <c r="A102" t="s">
        <v>7</v>
      </c>
      <c r="B102" t="s">
        <v>13</v>
      </c>
      <c r="C102" t="s">
        <v>16</v>
      </c>
      <c r="D102" t="s">
        <v>10</v>
      </c>
      <c r="E102">
        <v>2</v>
      </c>
      <c r="F102">
        <v>11.35</v>
      </c>
      <c r="G102">
        <v>2.5</v>
      </c>
      <c r="I102">
        <f t="shared" si="5"/>
        <v>0</v>
      </c>
      <c r="J102">
        <f t="shared" si="6"/>
        <v>1</v>
      </c>
      <c r="K102">
        <f t="shared" si="7"/>
        <v>2</v>
      </c>
      <c r="L102">
        <f t="shared" si="8"/>
        <v>1</v>
      </c>
      <c r="M102">
        <v>2</v>
      </c>
      <c r="N102">
        <v>11.35</v>
      </c>
      <c r="O102" s="23">
        <v>2.5</v>
      </c>
      <c r="U102" s="2">
        <v>0.67508094538181496</v>
      </c>
      <c r="V102">
        <f>N102*Regression!$B$23</f>
        <v>1.0698909361944766</v>
      </c>
      <c r="W102">
        <f>M102*Regression!$B$22</f>
        <v>0.34992874109401623</v>
      </c>
      <c r="X102">
        <f>I102*Regression!$B$18</f>
        <v>0</v>
      </c>
      <c r="Y102">
        <f>J102*Regression!$B$19</f>
        <v>-7.2844330789933256E-2</v>
      </c>
      <c r="Z102">
        <f>K102*Regression!$B$20</f>
        <v>0.10601060996587147</v>
      </c>
      <c r="AA102">
        <f>L102*Regression!$B$21</f>
        <v>-0.11600626172099011</v>
      </c>
      <c r="AB102" s="25">
        <f t="shared" si="9"/>
        <v>2.0120606401252559</v>
      </c>
    </row>
    <row r="103" spans="1:28" ht="15.5" x14ac:dyDescent="0.35">
      <c r="A103" t="s">
        <v>7</v>
      </c>
      <c r="B103" t="s">
        <v>13</v>
      </c>
      <c r="C103" t="s">
        <v>16</v>
      </c>
      <c r="D103" t="s">
        <v>10</v>
      </c>
      <c r="E103">
        <v>2</v>
      </c>
      <c r="F103">
        <v>15.38</v>
      </c>
      <c r="G103">
        <v>3</v>
      </c>
      <c r="I103">
        <f t="shared" si="5"/>
        <v>0</v>
      </c>
      <c r="J103">
        <f t="shared" si="6"/>
        <v>1</v>
      </c>
      <c r="K103">
        <f t="shared" si="7"/>
        <v>2</v>
      </c>
      <c r="L103">
        <f t="shared" si="8"/>
        <v>1</v>
      </c>
      <c r="M103">
        <v>2</v>
      </c>
      <c r="N103">
        <v>15.38</v>
      </c>
      <c r="O103" s="23">
        <v>3</v>
      </c>
      <c r="U103" s="2">
        <v>0.67508094538181496</v>
      </c>
      <c r="V103">
        <f>N103*Regression!$B$23</f>
        <v>1.4497729161824715</v>
      </c>
      <c r="W103">
        <f>M103*Regression!$B$22</f>
        <v>0.34992874109401623</v>
      </c>
      <c r="X103">
        <f>I103*Regression!$B$18</f>
        <v>0</v>
      </c>
      <c r="Y103">
        <f>J103*Regression!$B$19</f>
        <v>-7.2844330789933256E-2</v>
      </c>
      <c r="Z103">
        <f>K103*Regression!$B$20</f>
        <v>0.10601060996587147</v>
      </c>
      <c r="AA103">
        <f>L103*Regression!$B$21</f>
        <v>-0.11600626172099011</v>
      </c>
      <c r="AB103" s="25">
        <f t="shared" si="9"/>
        <v>2.3919426201132508</v>
      </c>
    </row>
    <row r="104" spans="1:28" ht="15.5" x14ac:dyDescent="0.35">
      <c r="A104" t="s">
        <v>7</v>
      </c>
      <c r="B104" t="s">
        <v>13</v>
      </c>
      <c r="C104" t="s">
        <v>12</v>
      </c>
      <c r="D104" t="s">
        <v>10</v>
      </c>
      <c r="E104">
        <v>3</v>
      </c>
      <c r="F104">
        <v>44.3</v>
      </c>
      <c r="G104">
        <v>2.5</v>
      </c>
      <c r="I104">
        <f t="shared" si="5"/>
        <v>0</v>
      </c>
      <c r="J104">
        <f t="shared" si="6"/>
        <v>1</v>
      </c>
      <c r="K104">
        <f t="shared" si="7"/>
        <v>3</v>
      </c>
      <c r="L104">
        <f t="shared" si="8"/>
        <v>1</v>
      </c>
      <c r="M104">
        <v>3</v>
      </c>
      <c r="N104">
        <v>44.3</v>
      </c>
      <c r="O104" s="23">
        <v>2.5</v>
      </c>
      <c r="U104" s="2">
        <v>0.67508094538181496</v>
      </c>
      <c r="V104">
        <f>N104*Regression!$B$23</f>
        <v>4.175873874309719</v>
      </c>
      <c r="W104">
        <f>M104*Regression!$B$22</f>
        <v>0.52489311164102437</v>
      </c>
      <c r="X104">
        <f>I104*Regression!$B$18</f>
        <v>0</v>
      </c>
      <c r="Y104">
        <f>J104*Regression!$B$19</f>
        <v>-7.2844330789933256E-2</v>
      </c>
      <c r="Z104">
        <f>K104*Regression!$B$20</f>
        <v>0.15901591494880721</v>
      </c>
      <c r="AA104">
        <f>L104*Regression!$B$21</f>
        <v>-0.11600626172099011</v>
      </c>
      <c r="AB104" s="25">
        <f t="shared" si="9"/>
        <v>5.3460132537704421</v>
      </c>
    </row>
    <row r="105" spans="1:28" ht="15.5" x14ac:dyDescent="0.35">
      <c r="A105" t="s">
        <v>7</v>
      </c>
      <c r="B105" t="s">
        <v>13</v>
      </c>
      <c r="C105" t="s">
        <v>12</v>
      </c>
      <c r="D105" t="s">
        <v>10</v>
      </c>
      <c r="E105">
        <v>2</v>
      </c>
      <c r="F105">
        <v>22.42</v>
      </c>
      <c r="G105">
        <v>3.48</v>
      </c>
      <c r="I105">
        <f t="shared" si="5"/>
        <v>0</v>
      </c>
      <c r="J105">
        <f t="shared" si="6"/>
        <v>1</v>
      </c>
      <c r="K105">
        <f t="shared" si="7"/>
        <v>3</v>
      </c>
      <c r="L105">
        <f t="shared" si="8"/>
        <v>1</v>
      </c>
      <c r="M105">
        <v>2</v>
      </c>
      <c r="N105">
        <v>22.42</v>
      </c>
      <c r="O105" s="23">
        <v>3.48</v>
      </c>
      <c r="U105" s="2">
        <v>0.67508094538181496</v>
      </c>
      <c r="V105">
        <f>N105*Regression!$B$23</f>
        <v>2.1133880871788695</v>
      </c>
      <c r="W105">
        <f>M105*Regression!$B$22</f>
        <v>0.34992874109401623</v>
      </c>
      <c r="X105">
        <f>I105*Regression!$B$18</f>
        <v>0</v>
      </c>
      <c r="Y105">
        <f>J105*Regression!$B$19</f>
        <v>-7.2844330789933256E-2</v>
      </c>
      <c r="Z105">
        <f>K105*Regression!$B$20</f>
        <v>0.15901591494880721</v>
      </c>
      <c r="AA105">
        <f>L105*Regression!$B$21</f>
        <v>-0.11600626172099011</v>
      </c>
      <c r="AB105" s="25">
        <f t="shared" si="9"/>
        <v>3.1085630960925843</v>
      </c>
    </row>
    <row r="106" spans="1:28" ht="15.5" x14ac:dyDescent="0.35">
      <c r="A106" t="s">
        <v>7</v>
      </c>
      <c r="B106" t="s">
        <v>8</v>
      </c>
      <c r="C106" t="s">
        <v>12</v>
      </c>
      <c r="D106" t="s">
        <v>10</v>
      </c>
      <c r="E106">
        <v>2</v>
      </c>
      <c r="F106">
        <v>20.92</v>
      </c>
      <c r="G106">
        <v>4.08</v>
      </c>
      <c r="I106">
        <f t="shared" si="5"/>
        <v>0</v>
      </c>
      <c r="J106">
        <f t="shared" si="6"/>
        <v>0</v>
      </c>
      <c r="K106">
        <f t="shared" si="7"/>
        <v>3</v>
      </c>
      <c r="L106">
        <f t="shared" si="8"/>
        <v>1</v>
      </c>
      <c r="M106">
        <v>2</v>
      </c>
      <c r="N106">
        <v>20.92</v>
      </c>
      <c r="O106" s="23">
        <v>4.08</v>
      </c>
      <c r="U106" s="2">
        <v>0.67508094538181496</v>
      </c>
      <c r="V106">
        <f>N106*Regression!$B$23</f>
        <v>1.9719928092677053</v>
      </c>
      <c r="W106">
        <f>M106*Regression!$B$22</f>
        <v>0.34992874109401623</v>
      </c>
      <c r="X106">
        <f>I106*Regression!$B$18</f>
        <v>0</v>
      </c>
      <c r="Y106">
        <f>J106*Regression!$B$19</f>
        <v>0</v>
      </c>
      <c r="Z106">
        <f>K106*Regression!$B$20</f>
        <v>0.15901591494880721</v>
      </c>
      <c r="AA106">
        <f>L106*Regression!$B$21</f>
        <v>-0.11600626172099011</v>
      </c>
      <c r="AB106" s="25">
        <f t="shared" si="9"/>
        <v>3.0400121489713534</v>
      </c>
    </row>
    <row r="107" spans="1:28" ht="15.5" x14ac:dyDescent="0.35">
      <c r="A107" t="s">
        <v>11</v>
      </c>
      <c r="B107" t="s">
        <v>13</v>
      </c>
      <c r="C107" t="s">
        <v>12</v>
      </c>
      <c r="D107" t="s">
        <v>10</v>
      </c>
      <c r="E107">
        <v>2</v>
      </c>
      <c r="F107">
        <v>15.36</v>
      </c>
      <c r="G107">
        <v>1.64</v>
      </c>
      <c r="I107">
        <f t="shared" si="5"/>
        <v>1</v>
      </c>
      <c r="J107">
        <f t="shared" si="6"/>
        <v>1</v>
      </c>
      <c r="K107">
        <f t="shared" si="7"/>
        <v>3</v>
      </c>
      <c r="L107">
        <f t="shared" si="8"/>
        <v>1</v>
      </c>
      <c r="M107">
        <v>2</v>
      </c>
      <c r="N107">
        <v>15.36</v>
      </c>
      <c r="O107" s="23">
        <v>1.64</v>
      </c>
      <c r="U107" s="2">
        <v>0.67508094538181496</v>
      </c>
      <c r="V107">
        <f>N107*Regression!$B$23</f>
        <v>1.4478876458103225</v>
      </c>
      <c r="W107">
        <f>M107*Regression!$B$22</f>
        <v>0.34992874109401623</v>
      </c>
      <c r="X107">
        <f>I107*Regression!$B$18</f>
        <v>-3.6632514766371221E-2</v>
      </c>
      <c r="Y107">
        <f>J107*Regression!$B$19</f>
        <v>-7.2844330789933256E-2</v>
      </c>
      <c r="Z107">
        <f>K107*Regression!$B$20</f>
        <v>0.15901591494880721</v>
      </c>
      <c r="AA107">
        <f>L107*Regression!$B$21</f>
        <v>-0.11600626172099011</v>
      </c>
      <c r="AB107" s="25">
        <f t="shared" si="9"/>
        <v>2.4064301399576657</v>
      </c>
    </row>
    <row r="108" spans="1:28" ht="15.5" x14ac:dyDescent="0.35">
      <c r="A108" t="s">
        <v>11</v>
      </c>
      <c r="B108" t="s">
        <v>13</v>
      </c>
      <c r="C108" t="s">
        <v>12</v>
      </c>
      <c r="D108" t="s">
        <v>10</v>
      </c>
      <c r="E108">
        <v>2</v>
      </c>
      <c r="F108">
        <v>20.49</v>
      </c>
      <c r="G108">
        <v>4.0599999999999996</v>
      </c>
      <c r="I108">
        <f t="shared" si="5"/>
        <v>1</v>
      </c>
      <c r="J108">
        <f t="shared" si="6"/>
        <v>1</v>
      </c>
      <c r="K108">
        <f t="shared" si="7"/>
        <v>3</v>
      </c>
      <c r="L108">
        <f t="shared" si="8"/>
        <v>1</v>
      </c>
      <c r="M108">
        <v>2</v>
      </c>
      <c r="N108">
        <v>20.49</v>
      </c>
      <c r="O108" s="23">
        <v>4.0599999999999996</v>
      </c>
      <c r="U108" s="2">
        <v>0.67508094538181496</v>
      </c>
      <c r="V108">
        <f>N108*Regression!$B$23</f>
        <v>1.9314594962665044</v>
      </c>
      <c r="W108">
        <f>M108*Regression!$B$22</f>
        <v>0.34992874109401623</v>
      </c>
      <c r="X108">
        <f>I108*Regression!$B$18</f>
        <v>-3.6632514766371221E-2</v>
      </c>
      <c r="Y108">
        <f>J108*Regression!$B$19</f>
        <v>-7.2844330789933256E-2</v>
      </c>
      <c r="Z108">
        <f>K108*Regression!$B$20</f>
        <v>0.15901591494880721</v>
      </c>
      <c r="AA108">
        <f>L108*Regression!$B$21</f>
        <v>-0.11600626172099011</v>
      </c>
      <c r="AB108" s="25">
        <f t="shared" si="9"/>
        <v>2.8900019904138481</v>
      </c>
    </row>
    <row r="109" spans="1:28" ht="15.5" x14ac:dyDescent="0.35">
      <c r="A109" t="s">
        <v>11</v>
      </c>
      <c r="B109" t="s">
        <v>13</v>
      </c>
      <c r="C109" t="s">
        <v>12</v>
      </c>
      <c r="D109" t="s">
        <v>10</v>
      </c>
      <c r="E109">
        <v>2</v>
      </c>
      <c r="F109">
        <v>25.21</v>
      </c>
      <c r="G109">
        <v>4.29</v>
      </c>
      <c r="I109">
        <f t="shared" si="5"/>
        <v>1</v>
      </c>
      <c r="J109">
        <f t="shared" si="6"/>
        <v>1</v>
      </c>
      <c r="K109">
        <f t="shared" si="7"/>
        <v>3</v>
      </c>
      <c r="L109">
        <f t="shared" si="8"/>
        <v>1</v>
      </c>
      <c r="M109">
        <v>2</v>
      </c>
      <c r="N109">
        <v>25.21</v>
      </c>
      <c r="O109" s="23">
        <v>4.29</v>
      </c>
      <c r="U109" s="2">
        <v>0.67508094538181496</v>
      </c>
      <c r="V109">
        <f>N109*Regression!$B$23</f>
        <v>2.3763833040936349</v>
      </c>
      <c r="W109">
        <f>M109*Regression!$B$22</f>
        <v>0.34992874109401623</v>
      </c>
      <c r="X109">
        <f>I109*Regression!$B$18</f>
        <v>-3.6632514766371221E-2</v>
      </c>
      <c r="Y109">
        <f>J109*Regression!$B$19</f>
        <v>-7.2844330789933256E-2</v>
      </c>
      <c r="Z109">
        <f>K109*Regression!$B$20</f>
        <v>0.15901591494880721</v>
      </c>
      <c r="AA109">
        <f>L109*Regression!$B$21</f>
        <v>-0.11600626172099011</v>
      </c>
      <c r="AB109" s="25">
        <f t="shared" si="9"/>
        <v>3.3349257982409783</v>
      </c>
    </row>
    <row r="110" spans="1:28" ht="15.5" x14ac:dyDescent="0.35">
      <c r="A110" t="s">
        <v>11</v>
      </c>
      <c r="B110" t="s">
        <v>8</v>
      </c>
      <c r="C110" t="s">
        <v>12</v>
      </c>
      <c r="D110" t="s">
        <v>10</v>
      </c>
      <c r="E110">
        <v>2</v>
      </c>
      <c r="F110">
        <v>18.239999999999998</v>
      </c>
      <c r="G110">
        <v>3.76</v>
      </c>
      <c r="I110">
        <f t="shared" si="5"/>
        <v>1</v>
      </c>
      <c r="J110">
        <f t="shared" si="6"/>
        <v>0</v>
      </c>
      <c r="K110">
        <f t="shared" si="7"/>
        <v>3</v>
      </c>
      <c r="L110">
        <f t="shared" si="8"/>
        <v>1</v>
      </c>
      <c r="M110">
        <v>2</v>
      </c>
      <c r="N110">
        <v>18.239999999999998</v>
      </c>
      <c r="O110" s="23">
        <v>3.76</v>
      </c>
      <c r="U110" s="2">
        <v>0.67508094538181496</v>
      </c>
      <c r="V110">
        <f>N110*Regression!$B$23</f>
        <v>1.7193665793997579</v>
      </c>
      <c r="W110">
        <f>M110*Regression!$B$22</f>
        <v>0.34992874109401623</v>
      </c>
      <c r="X110">
        <f>I110*Regression!$B$18</f>
        <v>-3.6632514766371221E-2</v>
      </c>
      <c r="Y110">
        <f>J110*Regression!$B$19</f>
        <v>0</v>
      </c>
      <c r="Z110">
        <f>K110*Regression!$B$20</f>
        <v>0.15901591494880721</v>
      </c>
      <c r="AA110">
        <f>L110*Regression!$B$21</f>
        <v>-0.11600626172099011</v>
      </c>
      <c r="AB110" s="25">
        <f t="shared" si="9"/>
        <v>2.7507534043370345</v>
      </c>
    </row>
    <row r="111" spans="1:28" ht="15.5" x14ac:dyDescent="0.35">
      <c r="A111" t="s">
        <v>7</v>
      </c>
      <c r="B111" t="s">
        <v>13</v>
      </c>
      <c r="C111" t="s">
        <v>12</v>
      </c>
      <c r="D111" t="s">
        <v>10</v>
      </c>
      <c r="E111">
        <v>2</v>
      </c>
      <c r="F111">
        <v>14.31</v>
      </c>
      <c r="G111">
        <v>4</v>
      </c>
      <c r="I111">
        <f t="shared" si="5"/>
        <v>0</v>
      </c>
      <c r="J111">
        <f t="shared" si="6"/>
        <v>1</v>
      </c>
      <c r="K111">
        <f t="shared" si="7"/>
        <v>3</v>
      </c>
      <c r="L111">
        <f t="shared" si="8"/>
        <v>1</v>
      </c>
      <c r="M111">
        <v>2</v>
      </c>
      <c r="N111">
        <v>14.31</v>
      </c>
      <c r="O111" s="23">
        <v>4</v>
      </c>
      <c r="U111" s="2">
        <v>0.67508094538181496</v>
      </c>
      <c r="V111">
        <f>N111*Regression!$B$23</f>
        <v>1.3489109512725077</v>
      </c>
      <c r="W111">
        <f>M111*Regression!$B$22</f>
        <v>0.34992874109401623</v>
      </c>
      <c r="X111">
        <f>I111*Regression!$B$18</f>
        <v>0</v>
      </c>
      <c r="Y111">
        <f>J111*Regression!$B$19</f>
        <v>-7.2844330789933256E-2</v>
      </c>
      <c r="Z111">
        <f>K111*Regression!$B$20</f>
        <v>0.15901591494880721</v>
      </c>
      <c r="AA111">
        <f>L111*Regression!$B$21</f>
        <v>-0.11600626172099011</v>
      </c>
      <c r="AB111" s="25">
        <f t="shared" si="9"/>
        <v>2.3440859601862227</v>
      </c>
    </row>
    <row r="112" spans="1:28" ht="15.5" x14ac:dyDescent="0.35">
      <c r="A112" t="s">
        <v>11</v>
      </c>
      <c r="B112" t="s">
        <v>8</v>
      </c>
      <c r="C112" t="s">
        <v>12</v>
      </c>
      <c r="D112" t="s">
        <v>10</v>
      </c>
      <c r="E112">
        <v>2</v>
      </c>
      <c r="F112">
        <v>14</v>
      </c>
      <c r="G112">
        <v>3</v>
      </c>
      <c r="I112">
        <f t="shared" si="5"/>
        <v>1</v>
      </c>
      <c r="J112">
        <f t="shared" si="6"/>
        <v>0</v>
      </c>
      <c r="K112">
        <f t="shared" si="7"/>
        <v>3</v>
      </c>
      <c r="L112">
        <f t="shared" si="8"/>
        <v>1</v>
      </c>
      <c r="M112">
        <v>2</v>
      </c>
      <c r="N112">
        <v>14</v>
      </c>
      <c r="O112" s="23">
        <v>3</v>
      </c>
      <c r="U112" s="2">
        <v>0.67508094538181496</v>
      </c>
      <c r="V112">
        <f>N112*Regression!$B$23</f>
        <v>1.3196892605042003</v>
      </c>
      <c r="W112">
        <f>M112*Regression!$B$22</f>
        <v>0.34992874109401623</v>
      </c>
      <c r="X112">
        <f>I112*Regression!$B$18</f>
        <v>-3.6632514766371221E-2</v>
      </c>
      <c r="Y112">
        <f>J112*Regression!$B$19</f>
        <v>0</v>
      </c>
      <c r="Z112">
        <f>K112*Regression!$B$20</f>
        <v>0.15901591494880721</v>
      </c>
      <c r="AA112">
        <f>L112*Regression!$B$21</f>
        <v>-0.11600626172099011</v>
      </c>
      <c r="AB112" s="25">
        <f t="shared" si="9"/>
        <v>2.3510760854414769</v>
      </c>
    </row>
    <row r="113" spans="1:28" ht="15.5" x14ac:dyDescent="0.35">
      <c r="A113" t="s">
        <v>7</v>
      </c>
      <c r="B113" t="s">
        <v>8</v>
      </c>
      <c r="C113" t="s">
        <v>12</v>
      </c>
      <c r="D113" t="s">
        <v>10</v>
      </c>
      <c r="E113">
        <v>1</v>
      </c>
      <c r="F113">
        <v>7.25</v>
      </c>
      <c r="G113">
        <v>1</v>
      </c>
      <c r="I113">
        <f t="shared" si="5"/>
        <v>0</v>
      </c>
      <c r="J113">
        <f t="shared" si="6"/>
        <v>0</v>
      </c>
      <c r="K113">
        <f t="shared" si="7"/>
        <v>3</v>
      </c>
      <c r="L113">
        <f t="shared" si="8"/>
        <v>1</v>
      </c>
      <c r="M113">
        <v>1</v>
      </c>
      <c r="N113">
        <v>7.25</v>
      </c>
      <c r="O113" s="23">
        <v>1</v>
      </c>
      <c r="U113" s="2">
        <v>0.67508094538181496</v>
      </c>
      <c r="V113">
        <f>N113*Regression!$B$23</f>
        <v>0.68341050990396091</v>
      </c>
      <c r="W113">
        <f>M113*Regression!$B$22</f>
        <v>0.17496437054700811</v>
      </c>
      <c r="X113">
        <f>I113*Regression!$B$18</f>
        <v>0</v>
      </c>
      <c r="Y113">
        <f>J113*Regression!$B$19</f>
        <v>0</v>
      </c>
      <c r="Z113">
        <f>K113*Regression!$B$20</f>
        <v>0.15901591494880721</v>
      </c>
      <c r="AA113">
        <f>L113*Regression!$B$21</f>
        <v>-0.11600626172099011</v>
      </c>
      <c r="AB113" s="25">
        <f t="shared" si="9"/>
        <v>1.5764654790606012</v>
      </c>
    </row>
    <row r="114" spans="1:28" ht="15.5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  <c r="I114">
        <f t="shared" si="5"/>
        <v>1</v>
      </c>
      <c r="J114">
        <f t="shared" si="6"/>
        <v>0</v>
      </c>
      <c r="K114">
        <f t="shared" si="7"/>
        <v>4</v>
      </c>
      <c r="L114">
        <f t="shared" si="8"/>
        <v>1</v>
      </c>
      <c r="M114">
        <v>3</v>
      </c>
      <c r="N114">
        <v>38.07</v>
      </c>
      <c r="O114" s="23">
        <v>4</v>
      </c>
      <c r="U114" s="2">
        <v>0.67508094538181496</v>
      </c>
      <c r="V114">
        <f>N114*Regression!$B$23</f>
        <v>3.5886121533853506</v>
      </c>
      <c r="W114">
        <f>M114*Regression!$B$22</f>
        <v>0.52489311164102437</v>
      </c>
      <c r="X114">
        <f>I114*Regression!$B$18</f>
        <v>-3.6632514766371221E-2</v>
      </c>
      <c r="Y114">
        <f>J114*Regression!$B$19</f>
        <v>0</v>
      </c>
      <c r="Z114">
        <f>K114*Regression!$B$20</f>
        <v>0.21202121993174294</v>
      </c>
      <c r="AA114">
        <f>L114*Regression!$B$21</f>
        <v>-0.11600626172099011</v>
      </c>
      <c r="AB114" s="25">
        <f t="shared" si="9"/>
        <v>4.847968653852571</v>
      </c>
    </row>
    <row r="115" spans="1:28" ht="15.5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  <c r="I115">
        <f t="shared" si="5"/>
        <v>1</v>
      </c>
      <c r="J115">
        <f t="shared" si="6"/>
        <v>0</v>
      </c>
      <c r="K115">
        <f t="shared" si="7"/>
        <v>4</v>
      </c>
      <c r="L115">
        <f t="shared" si="8"/>
        <v>1</v>
      </c>
      <c r="M115">
        <v>2</v>
      </c>
      <c r="N115">
        <v>23.95</v>
      </c>
      <c r="O115" s="23">
        <v>2.5499999999999998</v>
      </c>
      <c r="U115" s="2">
        <v>0.67508094538181496</v>
      </c>
      <c r="V115">
        <f>N115*Regression!$B$23</f>
        <v>2.257611270648257</v>
      </c>
      <c r="W115">
        <f>M115*Regression!$B$22</f>
        <v>0.34992874109401623</v>
      </c>
      <c r="X115">
        <f>I115*Regression!$B$18</f>
        <v>-3.6632514766371221E-2</v>
      </c>
      <c r="Y115">
        <f>J115*Regression!$B$19</f>
        <v>0</v>
      </c>
      <c r="Z115">
        <f>K115*Regression!$B$20</f>
        <v>0.21202121993174294</v>
      </c>
      <c r="AA115">
        <f>L115*Regression!$B$21</f>
        <v>-0.11600626172099011</v>
      </c>
      <c r="AB115" s="25">
        <f t="shared" si="9"/>
        <v>3.3420034005684696</v>
      </c>
    </row>
    <row r="116" spans="1:28" ht="15.5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  <c r="I116">
        <f t="shared" si="5"/>
        <v>0</v>
      </c>
      <c r="J116">
        <f t="shared" si="6"/>
        <v>0</v>
      </c>
      <c r="K116">
        <f t="shared" si="7"/>
        <v>4</v>
      </c>
      <c r="L116">
        <f t="shared" si="8"/>
        <v>1</v>
      </c>
      <c r="M116">
        <v>3</v>
      </c>
      <c r="N116">
        <v>25.71</v>
      </c>
      <c r="O116" s="23">
        <v>4</v>
      </c>
      <c r="U116" s="2">
        <v>0.67508094538181496</v>
      </c>
      <c r="V116">
        <f>N116*Regression!$B$23</f>
        <v>2.4235150633973563</v>
      </c>
      <c r="W116">
        <f>M116*Regression!$B$22</f>
        <v>0.52489311164102437</v>
      </c>
      <c r="X116">
        <f>I116*Regression!$B$18</f>
        <v>0</v>
      </c>
      <c r="Y116">
        <f>J116*Regression!$B$19</f>
        <v>0</v>
      </c>
      <c r="Z116">
        <f>K116*Regression!$B$20</f>
        <v>0.21202121993174294</v>
      </c>
      <c r="AA116">
        <f>L116*Regression!$B$21</f>
        <v>-0.11600626172099011</v>
      </c>
      <c r="AB116" s="25">
        <f t="shared" si="9"/>
        <v>3.7195040786309486</v>
      </c>
    </row>
    <row r="117" spans="1:28" ht="15.5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  <c r="I117">
        <f t="shared" si="5"/>
        <v>0</v>
      </c>
      <c r="J117">
        <f t="shared" si="6"/>
        <v>0</v>
      </c>
      <c r="K117">
        <f t="shared" si="7"/>
        <v>4</v>
      </c>
      <c r="L117">
        <f t="shared" si="8"/>
        <v>1</v>
      </c>
      <c r="M117">
        <v>2</v>
      </c>
      <c r="N117">
        <v>17.309999999999999</v>
      </c>
      <c r="O117" s="23">
        <v>3.5</v>
      </c>
      <c r="U117" s="2">
        <v>0.67508094538181496</v>
      </c>
      <c r="V117">
        <f>N117*Regression!$B$23</f>
        <v>1.6317015070948362</v>
      </c>
      <c r="W117">
        <f>M117*Regression!$B$22</f>
        <v>0.34992874109401623</v>
      </c>
      <c r="X117">
        <f>I117*Regression!$B$18</f>
        <v>0</v>
      </c>
      <c r="Y117">
        <f>J117*Regression!$B$19</f>
        <v>0</v>
      </c>
      <c r="Z117">
        <f>K117*Regression!$B$20</f>
        <v>0.21202121993174294</v>
      </c>
      <c r="AA117">
        <f>L117*Regression!$B$21</f>
        <v>-0.11600626172099011</v>
      </c>
      <c r="AB117" s="25">
        <f t="shared" si="9"/>
        <v>2.7527261517814199</v>
      </c>
    </row>
    <row r="118" spans="1:28" ht="15.5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  <c r="I118">
        <f t="shared" si="5"/>
        <v>1</v>
      </c>
      <c r="J118">
        <f t="shared" si="6"/>
        <v>0</v>
      </c>
      <c r="K118">
        <f t="shared" si="7"/>
        <v>4</v>
      </c>
      <c r="L118">
        <f t="shared" si="8"/>
        <v>1</v>
      </c>
      <c r="M118">
        <v>4</v>
      </c>
      <c r="N118">
        <v>29.93</v>
      </c>
      <c r="O118" s="23">
        <v>5.07</v>
      </c>
      <c r="U118" s="2">
        <v>0.67508094538181496</v>
      </c>
      <c r="V118">
        <f>N118*Regression!$B$23</f>
        <v>2.8213071119207651</v>
      </c>
      <c r="W118">
        <f>M118*Regression!$B$22</f>
        <v>0.69985748218803245</v>
      </c>
      <c r="X118">
        <f>I118*Regression!$B$18</f>
        <v>-3.6632514766371221E-2</v>
      </c>
      <c r="Y118">
        <f>J118*Regression!$B$19</f>
        <v>0</v>
      </c>
      <c r="Z118">
        <f>K118*Regression!$B$20</f>
        <v>0.21202121993174294</v>
      </c>
      <c r="AA118">
        <f>L118*Regression!$B$21</f>
        <v>-0.11600626172099011</v>
      </c>
      <c r="AB118" s="25">
        <f t="shared" si="9"/>
        <v>4.2556279829349943</v>
      </c>
    </row>
    <row r="119" spans="1:28" ht="15.5" x14ac:dyDescent="0.35">
      <c r="A119" t="s">
        <v>7</v>
      </c>
      <c r="B119" t="s">
        <v>8</v>
      </c>
      <c r="C119" t="s">
        <v>14</v>
      </c>
      <c r="D119" t="s">
        <v>15</v>
      </c>
      <c r="E119">
        <v>2</v>
      </c>
      <c r="F119">
        <v>10.65</v>
      </c>
      <c r="G119">
        <v>1.5</v>
      </c>
      <c r="I119">
        <f t="shared" si="5"/>
        <v>0</v>
      </c>
      <c r="J119">
        <f t="shared" si="6"/>
        <v>0</v>
      </c>
      <c r="K119">
        <f t="shared" si="7"/>
        <v>1</v>
      </c>
      <c r="L119">
        <f t="shared" si="8"/>
        <v>0</v>
      </c>
      <c r="M119">
        <v>2</v>
      </c>
      <c r="N119">
        <v>10.65</v>
      </c>
      <c r="O119" s="23">
        <v>1.5</v>
      </c>
      <c r="U119" s="2">
        <v>0.67508094538181496</v>
      </c>
      <c r="V119">
        <f>N119*Regression!$B$23</f>
        <v>1.0039064731692666</v>
      </c>
      <c r="W119">
        <f>M119*Regression!$B$22</f>
        <v>0.34992874109401623</v>
      </c>
      <c r="X119">
        <f>I119*Regression!$B$18</f>
        <v>0</v>
      </c>
      <c r="Y119">
        <f>J119*Regression!$B$19</f>
        <v>0</v>
      </c>
      <c r="Z119">
        <f>K119*Regression!$B$20</f>
        <v>5.3005304982935736E-2</v>
      </c>
      <c r="AA119">
        <f>L119*Regression!$B$21</f>
        <v>0</v>
      </c>
      <c r="AB119" s="25">
        <f t="shared" si="9"/>
        <v>2.0819214646280333</v>
      </c>
    </row>
    <row r="120" spans="1:28" ht="15.5" x14ac:dyDescent="0.35">
      <c r="A120" t="s">
        <v>7</v>
      </c>
      <c r="B120" t="s">
        <v>8</v>
      </c>
      <c r="C120" t="s">
        <v>14</v>
      </c>
      <c r="D120" t="s">
        <v>15</v>
      </c>
      <c r="E120">
        <v>2</v>
      </c>
      <c r="F120">
        <v>12.43</v>
      </c>
      <c r="G120">
        <v>1.8</v>
      </c>
      <c r="I120">
        <f t="shared" si="5"/>
        <v>0</v>
      </c>
      <c r="J120">
        <f t="shared" si="6"/>
        <v>0</v>
      </c>
      <c r="K120">
        <f t="shared" si="7"/>
        <v>1</v>
      </c>
      <c r="L120">
        <f t="shared" si="8"/>
        <v>0</v>
      </c>
      <c r="M120">
        <v>2</v>
      </c>
      <c r="N120">
        <v>12.43</v>
      </c>
      <c r="O120" s="23">
        <v>1.8</v>
      </c>
      <c r="U120" s="2">
        <v>0.67508094538181496</v>
      </c>
      <c r="V120">
        <f>N120*Regression!$B$23</f>
        <v>1.171695536290515</v>
      </c>
      <c r="W120">
        <f>M120*Regression!$B$22</f>
        <v>0.34992874109401623</v>
      </c>
      <c r="X120">
        <f>I120*Regression!$B$18</f>
        <v>0</v>
      </c>
      <c r="Y120">
        <f>J120*Regression!$B$19</f>
        <v>0</v>
      </c>
      <c r="Z120">
        <f>K120*Regression!$B$20</f>
        <v>5.3005304982935736E-2</v>
      </c>
      <c r="AA120">
        <f>L120*Regression!$B$21</f>
        <v>0</v>
      </c>
      <c r="AB120" s="25">
        <f t="shared" si="9"/>
        <v>2.2497105277492819</v>
      </c>
    </row>
    <row r="121" spans="1:28" ht="15.5" x14ac:dyDescent="0.35">
      <c r="A121" t="s">
        <v>7</v>
      </c>
      <c r="B121" t="s">
        <v>8</v>
      </c>
      <c r="C121" t="s">
        <v>14</v>
      </c>
      <c r="D121" t="s">
        <v>15</v>
      </c>
      <c r="E121">
        <v>4</v>
      </c>
      <c r="F121">
        <v>24.08</v>
      </c>
      <c r="G121">
        <v>2.92</v>
      </c>
      <c r="I121">
        <f t="shared" si="5"/>
        <v>0</v>
      </c>
      <c r="J121">
        <f t="shared" si="6"/>
        <v>0</v>
      </c>
      <c r="K121">
        <f t="shared" si="7"/>
        <v>1</v>
      </c>
      <c r="L121">
        <f t="shared" si="8"/>
        <v>0</v>
      </c>
      <c r="M121">
        <v>4</v>
      </c>
      <c r="N121">
        <v>24.08</v>
      </c>
      <c r="O121" s="23">
        <v>2.92</v>
      </c>
      <c r="U121" s="2">
        <v>0.67508094538181496</v>
      </c>
      <c r="V121">
        <f>N121*Regression!$B$23</f>
        <v>2.2698655280672244</v>
      </c>
      <c r="W121">
        <f>M121*Regression!$B$22</f>
        <v>0.69985748218803245</v>
      </c>
      <c r="X121">
        <f>I121*Regression!$B$18</f>
        <v>0</v>
      </c>
      <c r="Y121">
        <f>J121*Regression!$B$19</f>
        <v>0</v>
      </c>
      <c r="Z121">
        <f>K121*Regression!$B$20</f>
        <v>5.3005304982935736E-2</v>
      </c>
      <c r="AA121">
        <f>L121*Regression!$B$21</f>
        <v>0</v>
      </c>
      <c r="AB121" s="25">
        <f t="shared" si="9"/>
        <v>3.6978092606200073</v>
      </c>
    </row>
    <row r="122" spans="1:28" ht="15.5" x14ac:dyDescent="0.35">
      <c r="A122" t="s">
        <v>11</v>
      </c>
      <c r="B122" t="s">
        <v>8</v>
      </c>
      <c r="C122" t="s">
        <v>14</v>
      </c>
      <c r="D122" t="s">
        <v>15</v>
      </c>
      <c r="E122">
        <v>2</v>
      </c>
      <c r="F122">
        <v>11.69</v>
      </c>
      <c r="G122">
        <v>2.31</v>
      </c>
      <c r="I122">
        <f t="shared" si="5"/>
        <v>1</v>
      </c>
      <c r="J122">
        <f t="shared" si="6"/>
        <v>0</v>
      </c>
      <c r="K122">
        <f t="shared" si="7"/>
        <v>1</v>
      </c>
      <c r="L122">
        <f t="shared" si="8"/>
        <v>0</v>
      </c>
      <c r="M122">
        <v>2</v>
      </c>
      <c r="N122">
        <v>11.69</v>
      </c>
      <c r="O122" s="23">
        <v>2.31</v>
      </c>
      <c r="U122" s="2">
        <v>0.67508094538181496</v>
      </c>
      <c r="V122">
        <f>N122*Regression!$B$23</f>
        <v>1.1019405325210072</v>
      </c>
      <c r="W122">
        <f>M122*Regression!$B$22</f>
        <v>0.34992874109401623</v>
      </c>
      <c r="X122">
        <f>I122*Regression!$B$18</f>
        <v>-3.6632514766371221E-2</v>
      </c>
      <c r="Y122">
        <f>J122*Regression!$B$19</f>
        <v>0</v>
      </c>
      <c r="Z122">
        <f>K122*Regression!$B$20</f>
        <v>5.3005304982935736E-2</v>
      </c>
      <c r="AA122">
        <f>L122*Regression!$B$21</f>
        <v>0</v>
      </c>
      <c r="AB122" s="25">
        <f t="shared" si="9"/>
        <v>2.1433230092134026</v>
      </c>
    </row>
    <row r="123" spans="1:28" ht="15.5" x14ac:dyDescent="0.35">
      <c r="A123" t="s">
        <v>7</v>
      </c>
      <c r="B123" t="s">
        <v>8</v>
      </c>
      <c r="C123" t="s">
        <v>14</v>
      </c>
      <c r="D123" t="s">
        <v>15</v>
      </c>
      <c r="E123">
        <v>2</v>
      </c>
      <c r="F123">
        <v>13.42</v>
      </c>
      <c r="G123">
        <v>1.68</v>
      </c>
      <c r="I123">
        <f t="shared" si="5"/>
        <v>0</v>
      </c>
      <c r="J123">
        <f t="shared" si="6"/>
        <v>0</v>
      </c>
      <c r="K123">
        <f t="shared" si="7"/>
        <v>1</v>
      </c>
      <c r="L123">
        <f t="shared" si="8"/>
        <v>0</v>
      </c>
      <c r="M123">
        <v>2</v>
      </c>
      <c r="N123">
        <v>13.42</v>
      </c>
      <c r="O123" s="23">
        <v>1.68</v>
      </c>
      <c r="U123" s="2">
        <v>0.67508094538181496</v>
      </c>
      <c r="V123">
        <f>N123*Regression!$B$23</f>
        <v>1.2650164197118834</v>
      </c>
      <c r="W123">
        <f>M123*Regression!$B$22</f>
        <v>0.34992874109401623</v>
      </c>
      <c r="X123">
        <f>I123*Regression!$B$18</f>
        <v>0</v>
      </c>
      <c r="Y123">
        <f>J123*Regression!$B$19</f>
        <v>0</v>
      </c>
      <c r="Z123">
        <f>K123*Regression!$B$20</f>
        <v>5.3005304982935736E-2</v>
      </c>
      <c r="AA123">
        <f>L123*Regression!$B$21</f>
        <v>0</v>
      </c>
      <c r="AB123" s="25">
        <f t="shared" si="9"/>
        <v>2.3430314111706503</v>
      </c>
    </row>
    <row r="124" spans="1:28" ht="15.5" x14ac:dyDescent="0.35">
      <c r="A124" t="s">
        <v>11</v>
      </c>
      <c r="B124" t="s">
        <v>8</v>
      </c>
      <c r="C124" t="s">
        <v>14</v>
      </c>
      <c r="D124" t="s">
        <v>15</v>
      </c>
      <c r="E124">
        <v>2</v>
      </c>
      <c r="F124">
        <v>14.26</v>
      </c>
      <c r="G124">
        <v>2.5</v>
      </c>
      <c r="I124">
        <f t="shared" si="5"/>
        <v>1</v>
      </c>
      <c r="J124">
        <f t="shared" si="6"/>
        <v>0</v>
      </c>
      <c r="K124">
        <f t="shared" si="7"/>
        <v>1</v>
      </c>
      <c r="L124">
        <f t="shared" si="8"/>
        <v>0</v>
      </c>
      <c r="M124">
        <v>2</v>
      </c>
      <c r="N124">
        <v>14.26</v>
      </c>
      <c r="O124" s="23">
        <v>2.5</v>
      </c>
      <c r="U124" s="2">
        <v>0.67508094538181496</v>
      </c>
      <c r="V124">
        <f>N124*Regression!$B$23</f>
        <v>1.3441977753421355</v>
      </c>
      <c r="W124">
        <f>M124*Regression!$B$22</f>
        <v>0.34992874109401623</v>
      </c>
      <c r="X124">
        <f>I124*Regression!$B$18</f>
        <v>-3.6632514766371221E-2</v>
      </c>
      <c r="Y124">
        <f>J124*Regression!$B$19</f>
        <v>0</v>
      </c>
      <c r="Z124">
        <f>K124*Regression!$B$20</f>
        <v>5.3005304982935736E-2</v>
      </c>
      <c r="AA124">
        <f>L124*Regression!$B$21</f>
        <v>0</v>
      </c>
      <c r="AB124" s="25">
        <f t="shared" si="9"/>
        <v>2.3855802520345311</v>
      </c>
    </row>
    <row r="125" spans="1:28" ht="15.5" x14ac:dyDescent="0.35">
      <c r="A125" t="s">
        <v>11</v>
      </c>
      <c r="B125" t="s">
        <v>8</v>
      </c>
      <c r="C125" t="s">
        <v>14</v>
      </c>
      <c r="D125" t="s">
        <v>15</v>
      </c>
      <c r="E125">
        <v>2</v>
      </c>
      <c r="F125">
        <v>15.95</v>
      </c>
      <c r="G125">
        <v>2</v>
      </c>
      <c r="I125">
        <f t="shared" si="5"/>
        <v>1</v>
      </c>
      <c r="J125">
        <f t="shared" si="6"/>
        <v>0</v>
      </c>
      <c r="K125">
        <f t="shared" si="7"/>
        <v>1</v>
      </c>
      <c r="L125">
        <f t="shared" si="8"/>
        <v>0</v>
      </c>
      <c r="M125">
        <v>2</v>
      </c>
      <c r="N125">
        <v>15.95</v>
      </c>
      <c r="O125" s="23">
        <v>2</v>
      </c>
      <c r="U125" s="2">
        <v>0.67508094538181496</v>
      </c>
      <c r="V125">
        <f>N125*Regression!$B$23</f>
        <v>1.5035031217887138</v>
      </c>
      <c r="W125">
        <f>M125*Regression!$B$22</f>
        <v>0.34992874109401623</v>
      </c>
      <c r="X125">
        <f>I125*Regression!$B$18</f>
        <v>-3.6632514766371221E-2</v>
      </c>
      <c r="Y125">
        <f>J125*Regression!$B$19</f>
        <v>0</v>
      </c>
      <c r="Z125">
        <f>K125*Regression!$B$20</f>
        <v>5.3005304982935736E-2</v>
      </c>
      <c r="AA125">
        <f>L125*Regression!$B$21</f>
        <v>0</v>
      </c>
      <c r="AB125" s="25">
        <f t="shared" si="9"/>
        <v>2.544885598481109</v>
      </c>
    </row>
    <row r="126" spans="1:28" ht="15.5" x14ac:dyDescent="0.35">
      <c r="A126" t="s">
        <v>7</v>
      </c>
      <c r="B126" t="s">
        <v>8</v>
      </c>
      <c r="C126" t="s">
        <v>14</v>
      </c>
      <c r="D126" t="s">
        <v>15</v>
      </c>
      <c r="E126">
        <v>2</v>
      </c>
      <c r="F126">
        <v>12.48</v>
      </c>
      <c r="G126">
        <v>2.52</v>
      </c>
      <c r="I126">
        <f t="shared" si="5"/>
        <v>0</v>
      </c>
      <c r="J126">
        <f t="shared" si="6"/>
        <v>0</v>
      </c>
      <c r="K126">
        <f t="shared" si="7"/>
        <v>1</v>
      </c>
      <c r="L126">
        <f t="shared" si="8"/>
        <v>0</v>
      </c>
      <c r="M126">
        <v>2</v>
      </c>
      <c r="N126">
        <v>12.48</v>
      </c>
      <c r="O126" s="23">
        <v>2.52</v>
      </c>
      <c r="U126" s="2">
        <v>0.67508094538181496</v>
      </c>
      <c r="V126">
        <f>N126*Regression!$B$23</f>
        <v>1.1764087122208871</v>
      </c>
      <c r="W126">
        <f>M126*Regression!$B$22</f>
        <v>0.34992874109401623</v>
      </c>
      <c r="X126">
        <f>I126*Regression!$B$18</f>
        <v>0</v>
      </c>
      <c r="Y126">
        <f>J126*Regression!$B$19</f>
        <v>0</v>
      </c>
      <c r="Z126">
        <f>K126*Regression!$B$20</f>
        <v>5.3005304982935736E-2</v>
      </c>
      <c r="AA126">
        <f>L126*Regression!$B$21</f>
        <v>0</v>
      </c>
      <c r="AB126" s="25">
        <f t="shared" si="9"/>
        <v>2.2544237036796537</v>
      </c>
    </row>
    <row r="127" spans="1:28" ht="15.5" x14ac:dyDescent="0.35">
      <c r="A127" t="s">
        <v>7</v>
      </c>
      <c r="B127" t="s">
        <v>8</v>
      </c>
      <c r="C127" t="s">
        <v>14</v>
      </c>
      <c r="D127" t="s">
        <v>15</v>
      </c>
      <c r="E127">
        <v>6</v>
      </c>
      <c r="F127">
        <v>29.8</v>
      </c>
      <c r="G127">
        <v>4.2</v>
      </c>
      <c r="I127">
        <f t="shared" si="5"/>
        <v>0</v>
      </c>
      <c r="J127">
        <f t="shared" si="6"/>
        <v>0</v>
      </c>
      <c r="K127">
        <f t="shared" si="7"/>
        <v>1</v>
      </c>
      <c r="L127">
        <f t="shared" si="8"/>
        <v>0</v>
      </c>
      <c r="M127">
        <v>6</v>
      </c>
      <c r="N127">
        <v>29.8</v>
      </c>
      <c r="O127" s="23">
        <v>4.2</v>
      </c>
      <c r="U127" s="2">
        <v>0.67508094538181496</v>
      </c>
      <c r="V127">
        <f>N127*Regression!$B$23</f>
        <v>2.8090528545017976</v>
      </c>
      <c r="W127">
        <f>M127*Regression!$B$22</f>
        <v>1.0497862232820487</v>
      </c>
      <c r="X127">
        <f>I127*Regression!$B$18</f>
        <v>0</v>
      </c>
      <c r="Y127">
        <f>J127*Regression!$B$19</f>
        <v>0</v>
      </c>
      <c r="Z127">
        <f>K127*Regression!$B$20</f>
        <v>5.3005304982935736E-2</v>
      </c>
      <c r="AA127">
        <f>L127*Regression!$B$21</f>
        <v>0</v>
      </c>
      <c r="AB127" s="25">
        <f t="shared" si="9"/>
        <v>4.5869253281485971</v>
      </c>
    </row>
    <row r="128" spans="1:28" ht="15.5" x14ac:dyDescent="0.35">
      <c r="A128" t="s">
        <v>11</v>
      </c>
      <c r="B128" t="s">
        <v>8</v>
      </c>
      <c r="C128" t="s">
        <v>14</v>
      </c>
      <c r="D128" t="s">
        <v>15</v>
      </c>
      <c r="E128">
        <v>2</v>
      </c>
      <c r="F128">
        <v>8.52</v>
      </c>
      <c r="G128">
        <v>1.48</v>
      </c>
      <c r="I128">
        <f t="shared" si="5"/>
        <v>1</v>
      </c>
      <c r="J128">
        <f t="shared" si="6"/>
        <v>0</v>
      </c>
      <c r="K128">
        <f t="shared" si="7"/>
        <v>1</v>
      </c>
      <c r="L128">
        <f t="shared" si="8"/>
        <v>0</v>
      </c>
      <c r="M128">
        <v>2</v>
      </c>
      <c r="N128">
        <v>8.52</v>
      </c>
      <c r="O128" s="23">
        <v>1.48</v>
      </c>
      <c r="U128" s="2">
        <v>0.67508094538181496</v>
      </c>
      <c r="V128">
        <f>N128*Regression!$B$23</f>
        <v>0.80312517853541332</v>
      </c>
      <c r="W128">
        <f>M128*Regression!$B$22</f>
        <v>0.34992874109401623</v>
      </c>
      <c r="X128">
        <f>I128*Regression!$B$18</f>
        <v>-3.6632514766371221E-2</v>
      </c>
      <c r="Y128">
        <f>J128*Regression!$B$19</f>
        <v>0</v>
      </c>
      <c r="Z128">
        <f>K128*Regression!$B$20</f>
        <v>5.3005304982935736E-2</v>
      </c>
      <c r="AA128">
        <f>L128*Regression!$B$21</f>
        <v>0</v>
      </c>
      <c r="AB128" s="25">
        <f t="shared" si="9"/>
        <v>1.8445076552278088</v>
      </c>
    </row>
    <row r="129" spans="1:28" ht="15.5" x14ac:dyDescent="0.35">
      <c r="A129" t="s">
        <v>7</v>
      </c>
      <c r="B129" t="s">
        <v>8</v>
      </c>
      <c r="C129" t="s">
        <v>14</v>
      </c>
      <c r="D129" t="s">
        <v>15</v>
      </c>
      <c r="E129">
        <v>2</v>
      </c>
      <c r="F129">
        <v>14.52</v>
      </c>
      <c r="G129">
        <v>2</v>
      </c>
      <c r="I129">
        <f t="shared" si="5"/>
        <v>0</v>
      </c>
      <c r="J129">
        <f t="shared" si="6"/>
        <v>0</v>
      </c>
      <c r="K129">
        <f t="shared" si="7"/>
        <v>1</v>
      </c>
      <c r="L129">
        <f t="shared" si="8"/>
        <v>0</v>
      </c>
      <c r="M129">
        <v>2</v>
      </c>
      <c r="N129">
        <v>14.52</v>
      </c>
      <c r="O129" s="23">
        <v>2</v>
      </c>
      <c r="U129" s="2">
        <v>0.67508094538181496</v>
      </c>
      <c r="V129">
        <f>N129*Regression!$B$23</f>
        <v>1.3687062901800706</v>
      </c>
      <c r="W129">
        <f>M129*Regression!$B$22</f>
        <v>0.34992874109401623</v>
      </c>
      <c r="X129">
        <f>I129*Regression!$B$18</f>
        <v>0</v>
      </c>
      <c r="Y129">
        <f>J129*Regression!$B$19</f>
        <v>0</v>
      </c>
      <c r="Z129">
        <f>K129*Regression!$B$20</f>
        <v>5.3005304982935736E-2</v>
      </c>
      <c r="AA129">
        <f>L129*Regression!$B$21</f>
        <v>0</v>
      </c>
      <c r="AB129" s="25">
        <f t="shared" si="9"/>
        <v>2.4467212816388373</v>
      </c>
    </row>
    <row r="130" spans="1:28" ht="15.5" x14ac:dyDescent="0.35">
      <c r="A130" t="s">
        <v>7</v>
      </c>
      <c r="B130" t="s">
        <v>8</v>
      </c>
      <c r="C130" t="s">
        <v>14</v>
      </c>
      <c r="D130" t="s">
        <v>15</v>
      </c>
      <c r="E130">
        <v>2</v>
      </c>
      <c r="F130">
        <v>11.38</v>
      </c>
      <c r="G130">
        <v>2</v>
      </c>
      <c r="I130">
        <f t="shared" si="5"/>
        <v>0</v>
      </c>
      <c r="J130">
        <f t="shared" si="6"/>
        <v>0</v>
      </c>
      <c r="K130">
        <f t="shared" si="7"/>
        <v>1</v>
      </c>
      <c r="L130">
        <f t="shared" si="8"/>
        <v>0</v>
      </c>
      <c r="M130">
        <v>2</v>
      </c>
      <c r="N130">
        <v>11.38</v>
      </c>
      <c r="O130" s="23">
        <v>2</v>
      </c>
      <c r="U130" s="2">
        <v>0.67508094538181496</v>
      </c>
      <c r="V130">
        <f>N130*Regression!$B$23</f>
        <v>1.0727188417527</v>
      </c>
      <c r="W130">
        <f>M130*Regression!$B$22</f>
        <v>0.34992874109401623</v>
      </c>
      <c r="X130">
        <f>I130*Regression!$B$18</f>
        <v>0</v>
      </c>
      <c r="Y130">
        <f>J130*Regression!$B$19</f>
        <v>0</v>
      </c>
      <c r="Z130">
        <f>K130*Regression!$B$20</f>
        <v>5.3005304982935736E-2</v>
      </c>
      <c r="AA130">
        <f>L130*Regression!$B$21</f>
        <v>0</v>
      </c>
      <c r="AB130" s="25">
        <f t="shared" si="9"/>
        <v>2.1507338332114667</v>
      </c>
    </row>
    <row r="131" spans="1:28" ht="15.5" x14ac:dyDescent="0.35">
      <c r="A131" t="s">
        <v>11</v>
      </c>
      <c r="B131" t="s">
        <v>8</v>
      </c>
      <c r="C131" t="s">
        <v>14</v>
      </c>
      <c r="D131" t="s">
        <v>15</v>
      </c>
      <c r="E131">
        <v>3</v>
      </c>
      <c r="F131">
        <v>22.82</v>
      </c>
      <c r="G131">
        <v>2.1800000000000002</v>
      </c>
      <c r="I131">
        <f t="shared" ref="I131:I194" si="10">IF(A131="Female",0,1)</f>
        <v>1</v>
      </c>
      <c r="J131">
        <f t="shared" ref="J131:J194" si="11">IF(B131="No",0,1)</f>
        <v>0</v>
      </c>
      <c r="K131">
        <f t="shared" ref="K131:K194" si="12">IF(C131="Sun",4,IF(C131="Sat",3,IF(C131="Fri",2,1)))</f>
        <v>1</v>
      </c>
      <c r="L131">
        <f t="shared" ref="L131:L194" si="13">IF(D131="Lunch",0,1)</f>
        <v>0</v>
      </c>
      <c r="M131">
        <v>3</v>
      </c>
      <c r="N131">
        <v>22.82</v>
      </c>
      <c r="O131" s="23">
        <v>2.1800000000000002</v>
      </c>
      <c r="U131" s="2">
        <v>0.67508094538181496</v>
      </c>
      <c r="V131">
        <f>N131*Regression!$B$23</f>
        <v>2.1510934946218465</v>
      </c>
      <c r="W131">
        <f>M131*Regression!$B$22</f>
        <v>0.52489311164102437</v>
      </c>
      <c r="X131">
        <f>I131*Regression!$B$18</f>
        <v>-3.6632514766371221E-2</v>
      </c>
      <c r="Y131">
        <f>J131*Regression!$B$19</f>
        <v>0</v>
      </c>
      <c r="Z131">
        <f>K131*Regression!$B$20</f>
        <v>5.3005304982935736E-2</v>
      </c>
      <c r="AA131">
        <f>L131*Regression!$B$21</f>
        <v>0</v>
      </c>
      <c r="AB131" s="25">
        <f t="shared" ref="AB131:AB194" si="14">SUM(U131:AA131)</f>
        <v>3.3674403418612502</v>
      </c>
    </row>
    <row r="132" spans="1:28" ht="15.5" x14ac:dyDescent="0.35">
      <c r="A132" t="s">
        <v>11</v>
      </c>
      <c r="B132" t="s">
        <v>8</v>
      </c>
      <c r="C132" t="s">
        <v>14</v>
      </c>
      <c r="D132" t="s">
        <v>15</v>
      </c>
      <c r="E132">
        <v>2</v>
      </c>
      <c r="F132">
        <v>19.079999999999998</v>
      </c>
      <c r="G132">
        <v>1.5</v>
      </c>
      <c r="I132">
        <f t="shared" si="10"/>
        <v>1</v>
      </c>
      <c r="J132">
        <f t="shared" si="11"/>
        <v>0</v>
      </c>
      <c r="K132">
        <f t="shared" si="12"/>
        <v>1</v>
      </c>
      <c r="L132">
        <f t="shared" si="13"/>
        <v>0</v>
      </c>
      <c r="M132">
        <v>2</v>
      </c>
      <c r="N132">
        <v>19.079999999999998</v>
      </c>
      <c r="O132" s="23">
        <v>1.5</v>
      </c>
      <c r="U132" s="2">
        <v>0.67508094538181496</v>
      </c>
      <c r="V132">
        <f>N132*Regression!$B$23</f>
        <v>1.79854793503001</v>
      </c>
      <c r="W132">
        <f>M132*Regression!$B$22</f>
        <v>0.34992874109401623</v>
      </c>
      <c r="X132">
        <f>I132*Regression!$B$18</f>
        <v>-3.6632514766371221E-2</v>
      </c>
      <c r="Y132">
        <f>J132*Regression!$B$19</f>
        <v>0</v>
      </c>
      <c r="Z132">
        <f>K132*Regression!$B$20</f>
        <v>5.3005304982935736E-2</v>
      </c>
      <c r="AA132">
        <f>L132*Regression!$B$21</f>
        <v>0</v>
      </c>
      <c r="AB132" s="25">
        <f t="shared" si="14"/>
        <v>2.8399304117224053</v>
      </c>
    </row>
    <row r="133" spans="1:28" ht="15.5" x14ac:dyDescent="0.35">
      <c r="A133" t="s">
        <v>7</v>
      </c>
      <c r="B133" t="s">
        <v>8</v>
      </c>
      <c r="C133" t="s">
        <v>14</v>
      </c>
      <c r="D133" t="s">
        <v>15</v>
      </c>
      <c r="E133">
        <v>2</v>
      </c>
      <c r="F133">
        <v>20.27</v>
      </c>
      <c r="G133">
        <v>2.83</v>
      </c>
      <c r="I133">
        <f t="shared" si="10"/>
        <v>0</v>
      </c>
      <c r="J133">
        <f t="shared" si="11"/>
        <v>0</v>
      </c>
      <c r="K133">
        <f t="shared" si="12"/>
        <v>1</v>
      </c>
      <c r="L133">
        <f t="shared" si="13"/>
        <v>0</v>
      </c>
      <c r="M133">
        <v>2</v>
      </c>
      <c r="N133">
        <v>20.27</v>
      </c>
      <c r="O133" s="23">
        <v>2.83</v>
      </c>
      <c r="U133" s="2">
        <v>0.67508094538181496</v>
      </c>
      <c r="V133">
        <f>N133*Regression!$B$23</f>
        <v>1.9107215221728671</v>
      </c>
      <c r="W133">
        <f>M133*Regression!$B$22</f>
        <v>0.34992874109401623</v>
      </c>
      <c r="X133">
        <f>I133*Regression!$B$18</f>
        <v>0</v>
      </c>
      <c r="Y133">
        <f>J133*Regression!$B$19</f>
        <v>0</v>
      </c>
      <c r="Z133">
        <f>K133*Regression!$B$20</f>
        <v>5.3005304982935736E-2</v>
      </c>
      <c r="AA133">
        <f>L133*Regression!$B$21</f>
        <v>0</v>
      </c>
      <c r="AB133" s="25">
        <f t="shared" si="14"/>
        <v>2.988736513631634</v>
      </c>
    </row>
    <row r="134" spans="1:28" ht="15.5" x14ac:dyDescent="0.35">
      <c r="A134" t="s">
        <v>7</v>
      </c>
      <c r="B134" t="s">
        <v>8</v>
      </c>
      <c r="C134" t="s">
        <v>14</v>
      </c>
      <c r="D134" t="s">
        <v>15</v>
      </c>
      <c r="E134">
        <v>2</v>
      </c>
      <c r="F134">
        <v>11.17</v>
      </c>
      <c r="G134">
        <v>1.5</v>
      </c>
      <c r="I134">
        <f t="shared" si="10"/>
        <v>0</v>
      </c>
      <c r="J134">
        <f t="shared" si="11"/>
        <v>0</v>
      </c>
      <c r="K134">
        <f t="shared" si="12"/>
        <v>1</v>
      </c>
      <c r="L134">
        <f t="shared" si="13"/>
        <v>0</v>
      </c>
      <c r="M134">
        <v>2</v>
      </c>
      <c r="N134">
        <v>11.17</v>
      </c>
      <c r="O134" s="23">
        <v>1.5</v>
      </c>
      <c r="U134" s="2">
        <v>0.67508094538181496</v>
      </c>
      <c r="V134">
        <f>N134*Regression!$B$23</f>
        <v>1.0529235028451369</v>
      </c>
      <c r="W134">
        <f>M134*Regression!$B$22</f>
        <v>0.34992874109401623</v>
      </c>
      <c r="X134">
        <f>I134*Regression!$B$18</f>
        <v>0</v>
      </c>
      <c r="Y134">
        <f>J134*Regression!$B$19</f>
        <v>0</v>
      </c>
      <c r="Z134">
        <f>K134*Regression!$B$20</f>
        <v>5.3005304982935736E-2</v>
      </c>
      <c r="AA134">
        <f>L134*Regression!$B$21</f>
        <v>0</v>
      </c>
      <c r="AB134" s="25">
        <f t="shared" si="14"/>
        <v>2.1309384943039036</v>
      </c>
    </row>
    <row r="135" spans="1:28" ht="15.5" x14ac:dyDescent="0.35">
      <c r="A135" t="s">
        <v>7</v>
      </c>
      <c r="B135" t="s">
        <v>8</v>
      </c>
      <c r="C135" t="s">
        <v>14</v>
      </c>
      <c r="D135" t="s">
        <v>15</v>
      </c>
      <c r="E135">
        <v>2</v>
      </c>
      <c r="F135">
        <v>12.26</v>
      </c>
      <c r="G135">
        <v>2</v>
      </c>
      <c r="I135">
        <f t="shared" si="10"/>
        <v>0</v>
      </c>
      <c r="J135">
        <f t="shared" si="11"/>
        <v>0</v>
      </c>
      <c r="K135">
        <f t="shared" si="12"/>
        <v>1</v>
      </c>
      <c r="L135">
        <f t="shared" si="13"/>
        <v>0</v>
      </c>
      <c r="M135">
        <v>2</v>
      </c>
      <c r="N135">
        <v>12.26</v>
      </c>
      <c r="O135" s="23">
        <v>2</v>
      </c>
      <c r="U135" s="2">
        <v>0.67508094538181496</v>
      </c>
      <c r="V135">
        <f>N135*Regression!$B$23</f>
        <v>1.1556707381272497</v>
      </c>
      <c r="W135">
        <f>M135*Regression!$B$22</f>
        <v>0.34992874109401623</v>
      </c>
      <c r="X135">
        <f>I135*Regression!$B$18</f>
        <v>0</v>
      </c>
      <c r="Y135">
        <f>J135*Regression!$B$19</f>
        <v>0</v>
      </c>
      <c r="Z135">
        <f>K135*Regression!$B$20</f>
        <v>5.3005304982935736E-2</v>
      </c>
      <c r="AA135">
        <f>L135*Regression!$B$21</f>
        <v>0</v>
      </c>
      <c r="AB135" s="25">
        <f t="shared" si="14"/>
        <v>2.2336857295860164</v>
      </c>
    </row>
    <row r="136" spans="1:28" ht="15.5" x14ac:dyDescent="0.35">
      <c r="A136" t="s">
        <v>7</v>
      </c>
      <c r="B136" t="s">
        <v>8</v>
      </c>
      <c r="C136" t="s">
        <v>14</v>
      </c>
      <c r="D136" t="s">
        <v>15</v>
      </c>
      <c r="E136">
        <v>2</v>
      </c>
      <c r="F136">
        <v>18.260000000000002</v>
      </c>
      <c r="G136">
        <v>3.25</v>
      </c>
      <c r="I136">
        <f t="shared" si="10"/>
        <v>0</v>
      </c>
      <c r="J136">
        <f t="shared" si="11"/>
        <v>0</v>
      </c>
      <c r="K136">
        <f t="shared" si="12"/>
        <v>1</v>
      </c>
      <c r="L136">
        <f t="shared" si="13"/>
        <v>0</v>
      </c>
      <c r="M136">
        <v>2</v>
      </c>
      <c r="N136">
        <v>18.260000000000002</v>
      </c>
      <c r="O136" s="23">
        <v>3.25</v>
      </c>
      <c r="U136" s="2">
        <v>0.67508094538181496</v>
      </c>
      <c r="V136">
        <f>N136*Regression!$B$23</f>
        <v>1.7212518497719071</v>
      </c>
      <c r="W136">
        <f>M136*Regression!$B$22</f>
        <v>0.34992874109401623</v>
      </c>
      <c r="X136">
        <f>I136*Regression!$B$18</f>
        <v>0</v>
      </c>
      <c r="Y136">
        <f>J136*Regression!$B$19</f>
        <v>0</v>
      </c>
      <c r="Z136">
        <f>K136*Regression!$B$20</f>
        <v>5.3005304982935736E-2</v>
      </c>
      <c r="AA136">
        <f>L136*Regression!$B$21</f>
        <v>0</v>
      </c>
      <c r="AB136" s="25">
        <f t="shared" si="14"/>
        <v>2.7992668412306738</v>
      </c>
    </row>
    <row r="137" spans="1:28" ht="15.5" x14ac:dyDescent="0.35">
      <c r="A137" t="s">
        <v>7</v>
      </c>
      <c r="B137" t="s">
        <v>8</v>
      </c>
      <c r="C137" t="s">
        <v>14</v>
      </c>
      <c r="D137" t="s">
        <v>15</v>
      </c>
      <c r="E137">
        <v>2</v>
      </c>
      <c r="F137">
        <v>8.51</v>
      </c>
      <c r="G137">
        <v>1.25</v>
      </c>
      <c r="I137">
        <f t="shared" si="10"/>
        <v>0</v>
      </c>
      <c r="J137">
        <f t="shared" si="11"/>
        <v>0</v>
      </c>
      <c r="K137">
        <f t="shared" si="12"/>
        <v>1</v>
      </c>
      <c r="L137">
        <f t="shared" si="13"/>
        <v>0</v>
      </c>
      <c r="M137">
        <v>2</v>
      </c>
      <c r="N137">
        <v>8.51</v>
      </c>
      <c r="O137" s="23">
        <v>1.25</v>
      </c>
      <c r="U137" s="2">
        <v>0.67508094538181496</v>
      </c>
      <c r="V137">
        <f>N137*Regression!$B$23</f>
        <v>0.80218254334933892</v>
      </c>
      <c r="W137">
        <f>M137*Regression!$B$22</f>
        <v>0.34992874109401623</v>
      </c>
      <c r="X137">
        <f>I137*Regression!$B$18</f>
        <v>0</v>
      </c>
      <c r="Y137">
        <f>J137*Regression!$B$19</f>
        <v>0</v>
      </c>
      <c r="Z137">
        <f>K137*Regression!$B$20</f>
        <v>5.3005304982935736E-2</v>
      </c>
      <c r="AA137">
        <f>L137*Regression!$B$21</f>
        <v>0</v>
      </c>
      <c r="AB137" s="25">
        <f t="shared" si="14"/>
        <v>1.8801975348081059</v>
      </c>
    </row>
    <row r="138" spans="1:28" ht="15.5" x14ac:dyDescent="0.35">
      <c r="A138" t="s">
        <v>7</v>
      </c>
      <c r="B138" t="s">
        <v>8</v>
      </c>
      <c r="C138" t="s">
        <v>14</v>
      </c>
      <c r="D138" t="s">
        <v>15</v>
      </c>
      <c r="E138">
        <v>2</v>
      </c>
      <c r="F138">
        <v>10.33</v>
      </c>
      <c r="G138">
        <v>2</v>
      </c>
      <c r="I138">
        <f t="shared" si="10"/>
        <v>0</v>
      </c>
      <c r="J138">
        <f t="shared" si="11"/>
        <v>0</v>
      </c>
      <c r="K138">
        <f t="shared" si="12"/>
        <v>1</v>
      </c>
      <c r="L138">
        <f t="shared" si="13"/>
        <v>0</v>
      </c>
      <c r="M138">
        <v>2</v>
      </c>
      <c r="N138">
        <v>10.33</v>
      </c>
      <c r="O138" s="23">
        <v>2</v>
      </c>
      <c r="U138" s="2">
        <v>0.67508094538181496</v>
      </c>
      <c r="V138">
        <f>N138*Regression!$B$23</f>
        <v>0.97374214721488495</v>
      </c>
      <c r="W138">
        <f>M138*Regression!$B$22</f>
        <v>0.34992874109401623</v>
      </c>
      <c r="X138">
        <f>I138*Regression!$B$18</f>
        <v>0</v>
      </c>
      <c r="Y138">
        <f>J138*Regression!$B$19</f>
        <v>0</v>
      </c>
      <c r="Z138">
        <f>K138*Regression!$B$20</f>
        <v>5.3005304982935736E-2</v>
      </c>
      <c r="AA138">
        <f>L138*Regression!$B$21</f>
        <v>0</v>
      </c>
      <c r="AB138" s="25">
        <f t="shared" si="14"/>
        <v>2.0517571386736515</v>
      </c>
    </row>
    <row r="139" spans="1:28" ht="15.5" x14ac:dyDescent="0.35">
      <c r="A139" t="s">
        <v>7</v>
      </c>
      <c r="B139" t="s">
        <v>8</v>
      </c>
      <c r="C139" t="s">
        <v>14</v>
      </c>
      <c r="D139" t="s">
        <v>15</v>
      </c>
      <c r="E139">
        <v>2</v>
      </c>
      <c r="F139">
        <v>14.15</v>
      </c>
      <c r="G139">
        <v>2</v>
      </c>
      <c r="I139">
        <f t="shared" si="10"/>
        <v>0</v>
      </c>
      <c r="J139">
        <f t="shared" si="11"/>
        <v>0</v>
      </c>
      <c r="K139">
        <f t="shared" si="12"/>
        <v>1</v>
      </c>
      <c r="L139">
        <f t="shared" si="13"/>
        <v>0</v>
      </c>
      <c r="M139">
        <v>2</v>
      </c>
      <c r="N139">
        <v>14.15</v>
      </c>
      <c r="O139" s="23">
        <v>2</v>
      </c>
      <c r="U139" s="2">
        <v>0.67508094538181496</v>
      </c>
      <c r="V139">
        <f>N139*Regression!$B$23</f>
        <v>1.3338287882953168</v>
      </c>
      <c r="W139">
        <f>M139*Regression!$B$22</f>
        <v>0.34992874109401623</v>
      </c>
      <c r="X139">
        <f>I139*Regression!$B$18</f>
        <v>0</v>
      </c>
      <c r="Y139">
        <f>J139*Regression!$B$19</f>
        <v>0</v>
      </c>
      <c r="Z139">
        <f>K139*Regression!$B$20</f>
        <v>5.3005304982935736E-2</v>
      </c>
      <c r="AA139">
        <f>L139*Regression!$B$21</f>
        <v>0</v>
      </c>
      <c r="AB139" s="25">
        <f t="shared" si="14"/>
        <v>2.4118437797540833</v>
      </c>
    </row>
    <row r="140" spans="1:28" ht="15.5" x14ac:dyDescent="0.35">
      <c r="A140" t="s">
        <v>11</v>
      </c>
      <c r="B140" t="s">
        <v>13</v>
      </c>
      <c r="C140" t="s">
        <v>14</v>
      </c>
      <c r="D140" t="s">
        <v>15</v>
      </c>
      <c r="E140">
        <v>2</v>
      </c>
      <c r="F140">
        <v>16</v>
      </c>
      <c r="G140">
        <v>2</v>
      </c>
      <c r="I140">
        <f t="shared" si="10"/>
        <v>1</v>
      </c>
      <c r="J140">
        <f t="shared" si="11"/>
        <v>1</v>
      </c>
      <c r="K140">
        <f t="shared" si="12"/>
        <v>1</v>
      </c>
      <c r="L140">
        <f t="shared" si="13"/>
        <v>0</v>
      </c>
      <c r="M140">
        <v>2</v>
      </c>
      <c r="N140">
        <v>16</v>
      </c>
      <c r="O140" s="23">
        <v>2</v>
      </c>
      <c r="U140" s="2">
        <v>0.67508094538181496</v>
      </c>
      <c r="V140">
        <f>N140*Regression!$B$23</f>
        <v>1.5082162977190861</v>
      </c>
      <c r="W140">
        <f>M140*Regression!$B$22</f>
        <v>0.34992874109401623</v>
      </c>
      <c r="X140">
        <f>I140*Regression!$B$18</f>
        <v>-3.6632514766371221E-2</v>
      </c>
      <c r="Y140">
        <f>J140*Regression!$B$19</f>
        <v>-7.2844330789933256E-2</v>
      </c>
      <c r="Z140">
        <f>K140*Regression!$B$20</f>
        <v>5.3005304982935736E-2</v>
      </c>
      <c r="AA140">
        <f>L140*Regression!$B$21</f>
        <v>0</v>
      </c>
      <c r="AB140" s="25">
        <f t="shared" si="14"/>
        <v>2.4767544436215481</v>
      </c>
    </row>
    <row r="141" spans="1:28" ht="15.5" x14ac:dyDescent="0.35">
      <c r="A141" t="s">
        <v>7</v>
      </c>
      <c r="B141" t="s">
        <v>8</v>
      </c>
      <c r="C141" t="s">
        <v>14</v>
      </c>
      <c r="D141" t="s">
        <v>15</v>
      </c>
      <c r="E141">
        <v>2</v>
      </c>
      <c r="F141">
        <v>13.16</v>
      </c>
      <c r="G141">
        <v>2.75</v>
      </c>
      <c r="I141">
        <f t="shared" si="10"/>
        <v>0</v>
      </c>
      <c r="J141">
        <f t="shared" si="11"/>
        <v>0</v>
      </c>
      <c r="K141">
        <f t="shared" si="12"/>
        <v>1</v>
      </c>
      <c r="L141">
        <f t="shared" si="13"/>
        <v>0</v>
      </c>
      <c r="M141">
        <v>2</v>
      </c>
      <c r="N141">
        <v>13.16</v>
      </c>
      <c r="O141" s="23">
        <v>2.75</v>
      </c>
      <c r="U141" s="2">
        <v>0.67508094538181496</v>
      </c>
      <c r="V141">
        <f>N141*Regression!$B$23</f>
        <v>1.2405079048739482</v>
      </c>
      <c r="W141">
        <f>M141*Regression!$B$22</f>
        <v>0.34992874109401623</v>
      </c>
      <c r="X141">
        <f>I141*Regression!$B$18</f>
        <v>0</v>
      </c>
      <c r="Y141">
        <f>J141*Regression!$B$19</f>
        <v>0</v>
      </c>
      <c r="Z141">
        <f>K141*Regression!$B$20</f>
        <v>5.3005304982935736E-2</v>
      </c>
      <c r="AA141">
        <f>L141*Regression!$B$21</f>
        <v>0</v>
      </c>
      <c r="AB141" s="25">
        <f t="shared" si="14"/>
        <v>2.3185228963327149</v>
      </c>
    </row>
    <row r="142" spans="1:28" ht="15.5" x14ac:dyDescent="0.35">
      <c r="A142" t="s">
        <v>7</v>
      </c>
      <c r="B142" t="s">
        <v>8</v>
      </c>
      <c r="C142" t="s">
        <v>14</v>
      </c>
      <c r="D142" t="s">
        <v>15</v>
      </c>
      <c r="E142">
        <v>2</v>
      </c>
      <c r="F142">
        <v>17.47</v>
      </c>
      <c r="G142">
        <v>3.5</v>
      </c>
      <c r="I142">
        <f t="shared" si="10"/>
        <v>0</v>
      </c>
      <c r="J142">
        <f t="shared" si="11"/>
        <v>0</v>
      </c>
      <c r="K142">
        <f t="shared" si="12"/>
        <v>1</v>
      </c>
      <c r="L142">
        <f t="shared" si="13"/>
        <v>0</v>
      </c>
      <c r="M142">
        <v>2</v>
      </c>
      <c r="N142">
        <v>17.47</v>
      </c>
      <c r="O142" s="23">
        <v>3.5</v>
      </c>
      <c r="U142" s="2">
        <v>0.67508094538181496</v>
      </c>
      <c r="V142">
        <f>N142*Regression!$B$23</f>
        <v>1.6467836700720271</v>
      </c>
      <c r="W142">
        <f>M142*Regression!$B$22</f>
        <v>0.34992874109401623</v>
      </c>
      <c r="X142">
        <f>I142*Regression!$B$18</f>
        <v>0</v>
      </c>
      <c r="Y142">
        <f>J142*Regression!$B$19</f>
        <v>0</v>
      </c>
      <c r="Z142">
        <f>K142*Regression!$B$20</f>
        <v>5.3005304982935736E-2</v>
      </c>
      <c r="AA142">
        <f>L142*Regression!$B$21</f>
        <v>0</v>
      </c>
      <c r="AB142" s="25">
        <f t="shared" si="14"/>
        <v>2.724798661530794</v>
      </c>
    </row>
    <row r="143" spans="1:28" ht="15.5" x14ac:dyDescent="0.35">
      <c r="A143" t="s">
        <v>11</v>
      </c>
      <c r="B143" t="s">
        <v>8</v>
      </c>
      <c r="C143" t="s">
        <v>14</v>
      </c>
      <c r="D143" t="s">
        <v>15</v>
      </c>
      <c r="E143">
        <v>6</v>
      </c>
      <c r="F143">
        <v>34.299999999999997</v>
      </c>
      <c r="G143">
        <v>6.7</v>
      </c>
      <c r="I143">
        <f t="shared" si="10"/>
        <v>1</v>
      </c>
      <c r="J143">
        <f t="shared" si="11"/>
        <v>0</v>
      </c>
      <c r="K143">
        <f t="shared" si="12"/>
        <v>1</v>
      </c>
      <c r="L143">
        <f t="shared" si="13"/>
        <v>0</v>
      </c>
      <c r="M143">
        <v>6</v>
      </c>
      <c r="N143">
        <v>34.299999999999997</v>
      </c>
      <c r="O143" s="23">
        <v>6.7</v>
      </c>
      <c r="U143" s="2">
        <v>0.67508094538181496</v>
      </c>
      <c r="V143">
        <f>N143*Regression!$B$23</f>
        <v>3.2332386882352906</v>
      </c>
      <c r="W143">
        <f>M143*Regression!$B$22</f>
        <v>1.0497862232820487</v>
      </c>
      <c r="X143">
        <f>I143*Regression!$B$18</f>
        <v>-3.6632514766371221E-2</v>
      </c>
      <c r="Y143">
        <f>J143*Regression!$B$19</f>
        <v>0</v>
      </c>
      <c r="Z143">
        <f>K143*Regression!$B$20</f>
        <v>5.3005304982935736E-2</v>
      </c>
      <c r="AA143">
        <f>L143*Regression!$B$21</f>
        <v>0</v>
      </c>
      <c r="AB143" s="25">
        <f t="shared" si="14"/>
        <v>4.9744786471157187</v>
      </c>
    </row>
    <row r="144" spans="1:28" ht="15.5" x14ac:dyDescent="0.35">
      <c r="A144" t="s">
        <v>11</v>
      </c>
      <c r="B144" t="s">
        <v>8</v>
      </c>
      <c r="C144" t="s">
        <v>14</v>
      </c>
      <c r="D144" t="s">
        <v>15</v>
      </c>
      <c r="E144">
        <v>5</v>
      </c>
      <c r="F144">
        <v>41.19</v>
      </c>
      <c r="G144">
        <v>5</v>
      </c>
      <c r="I144">
        <f t="shared" si="10"/>
        <v>1</v>
      </c>
      <c r="J144">
        <f t="shared" si="11"/>
        <v>0</v>
      </c>
      <c r="K144">
        <f t="shared" si="12"/>
        <v>1</v>
      </c>
      <c r="L144">
        <f t="shared" si="13"/>
        <v>0</v>
      </c>
      <c r="M144">
        <v>5</v>
      </c>
      <c r="N144">
        <v>41.19</v>
      </c>
      <c r="O144" s="23">
        <v>5</v>
      </c>
      <c r="U144" s="2">
        <v>0.67508094538181496</v>
      </c>
      <c r="V144">
        <f>N144*Regression!$B$23</f>
        <v>3.8827143314405719</v>
      </c>
      <c r="W144">
        <f>M144*Regression!$B$22</f>
        <v>0.87482185273504054</v>
      </c>
      <c r="X144">
        <f>I144*Regression!$B$18</f>
        <v>-3.6632514766371221E-2</v>
      </c>
      <c r="Y144">
        <f>J144*Regression!$B$19</f>
        <v>0</v>
      </c>
      <c r="Z144">
        <f>K144*Regression!$B$20</f>
        <v>5.3005304982935736E-2</v>
      </c>
      <c r="AA144">
        <f>L144*Regression!$B$21</f>
        <v>0</v>
      </c>
      <c r="AB144" s="25">
        <f t="shared" si="14"/>
        <v>5.4489899197739922</v>
      </c>
    </row>
    <row r="145" spans="1:28" ht="15.5" x14ac:dyDescent="0.35">
      <c r="A145" t="s">
        <v>7</v>
      </c>
      <c r="B145" t="s">
        <v>8</v>
      </c>
      <c r="C145" t="s">
        <v>14</v>
      </c>
      <c r="D145" t="s">
        <v>15</v>
      </c>
      <c r="E145">
        <v>6</v>
      </c>
      <c r="F145">
        <v>27.05</v>
      </c>
      <c r="G145">
        <v>5</v>
      </c>
      <c r="I145">
        <f t="shared" si="10"/>
        <v>0</v>
      </c>
      <c r="J145">
        <f t="shared" si="11"/>
        <v>0</v>
      </c>
      <c r="K145">
        <f t="shared" si="12"/>
        <v>1</v>
      </c>
      <c r="L145">
        <f t="shared" si="13"/>
        <v>0</v>
      </c>
      <c r="M145">
        <v>6</v>
      </c>
      <c r="N145">
        <v>27.05</v>
      </c>
      <c r="O145" s="23">
        <v>5</v>
      </c>
      <c r="U145" s="2">
        <v>0.67508094538181496</v>
      </c>
      <c r="V145">
        <f>N145*Regression!$B$23</f>
        <v>2.5498281783313299</v>
      </c>
      <c r="W145">
        <f>M145*Regression!$B$22</f>
        <v>1.0497862232820487</v>
      </c>
      <c r="X145">
        <f>I145*Regression!$B$18</f>
        <v>0</v>
      </c>
      <c r="Y145">
        <f>J145*Regression!$B$19</f>
        <v>0</v>
      </c>
      <c r="Z145">
        <f>K145*Regression!$B$20</f>
        <v>5.3005304982935736E-2</v>
      </c>
      <c r="AA145">
        <f>L145*Regression!$B$21</f>
        <v>0</v>
      </c>
      <c r="AB145" s="25">
        <f t="shared" si="14"/>
        <v>4.3277006519781294</v>
      </c>
    </row>
    <row r="146" spans="1:28" ht="15.5" x14ac:dyDescent="0.35">
      <c r="A146" t="s">
        <v>7</v>
      </c>
      <c r="B146" t="s">
        <v>8</v>
      </c>
      <c r="C146" t="s">
        <v>14</v>
      </c>
      <c r="D146" t="s">
        <v>15</v>
      </c>
      <c r="E146">
        <v>2</v>
      </c>
      <c r="F146">
        <v>16.43</v>
      </c>
      <c r="G146">
        <v>2.2999999999999998</v>
      </c>
      <c r="I146">
        <f t="shared" si="10"/>
        <v>0</v>
      </c>
      <c r="J146">
        <f t="shared" si="11"/>
        <v>0</v>
      </c>
      <c r="K146">
        <f t="shared" si="12"/>
        <v>1</v>
      </c>
      <c r="L146">
        <f t="shared" si="13"/>
        <v>0</v>
      </c>
      <c r="M146">
        <v>2</v>
      </c>
      <c r="N146">
        <v>16.43</v>
      </c>
      <c r="O146" s="23">
        <v>2.2999999999999998</v>
      </c>
      <c r="U146" s="2">
        <v>0.67508094538181496</v>
      </c>
      <c r="V146">
        <f>N146*Regression!$B$23</f>
        <v>1.5487496107202865</v>
      </c>
      <c r="W146">
        <f>M146*Regression!$B$22</f>
        <v>0.34992874109401623</v>
      </c>
      <c r="X146">
        <f>I146*Regression!$B$18</f>
        <v>0</v>
      </c>
      <c r="Y146">
        <f>J146*Regression!$B$19</f>
        <v>0</v>
      </c>
      <c r="Z146">
        <f>K146*Regression!$B$20</f>
        <v>5.3005304982935736E-2</v>
      </c>
      <c r="AA146">
        <f>L146*Regression!$B$21</f>
        <v>0</v>
      </c>
      <c r="AB146" s="25">
        <f t="shared" si="14"/>
        <v>2.6267646021790534</v>
      </c>
    </row>
    <row r="147" spans="1:28" ht="15.5" x14ac:dyDescent="0.35">
      <c r="A147" t="s">
        <v>7</v>
      </c>
      <c r="B147" t="s">
        <v>8</v>
      </c>
      <c r="C147" t="s">
        <v>14</v>
      </c>
      <c r="D147" t="s">
        <v>15</v>
      </c>
      <c r="E147">
        <v>2</v>
      </c>
      <c r="F147">
        <v>8.35</v>
      </c>
      <c r="G147">
        <v>1.5</v>
      </c>
      <c r="I147">
        <f t="shared" si="10"/>
        <v>0</v>
      </c>
      <c r="J147">
        <f t="shared" si="11"/>
        <v>0</v>
      </c>
      <c r="K147">
        <f t="shared" si="12"/>
        <v>1</v>
      </c>
      <c r="L147">
        <f t="shared" si="13"/>
        <v>0</v>
      </c>
      <c r="M147">
        <v>2</v>
      </c>
      <c r="N147">
        <v>8.35</v>
      </c>
      <c r="O147" s="23">
        <v>1.5</v>
      </c>
      <c r="U147" s="2">
        <v>0.67508094538181496</v>
      </c>
      <c r="V147">
        <f>N147*Regression!$B$23</f>
        <v>0.78710038037214802</v>
      </c>
      <c r="W147">
        <f>M147*Regression!$B$22</f>
        <v>0.34992874109401623</v>
      </c>
      <c r="X147">
        <f>I147*Regression!$B$18</f>
        <v>0</v>
      </c>
      <c r="Y147">
        <f>J147*Regression!$B$19</f>
        <v>0</v>
      </c>
      <c r="Z147">
        <f>K147*Regression!$B$20</f>
        <v>5.3005304982935736E-2</v>
      </c>
      <c r="AA147">
        <f>L147*Regression!$B$21</f>
        <v>0</v>
      </c>
      <c r="AB147" s="25">
        <f t="shared" si="14"/>
        <v>1.865115371830915</v>
      </c>
    </row>
    <row r="148" spans="1:28" ht="15.5" x14ac:dyDescent="0.35">
      <c r="A148" t="s">
        <v>7</v>
      </c>
      <c r="B148" t="s">
        <v>8</v>
      </c>
      <c r="C148" t="s">
        <v>14</v>
      </c>
      <c r="D148" t="s">
        <v>15</v>
      </c>
      <c r="E148">
        <v>3</v>
      </c>
      <c r="F148">
        <v>18.64</v>
      </c>
      <c r="G148">
        <v>1.36</v>
      </c>
      <c r="I148">
        <f t="shared" si="10"/>
        <v>0</v>
      </c>
      <c r="J148">
        <f t="shared" si="11"/>
        <v>0</v>
      </c>
      <c r="K148">
        <f t="shared" si="12"/>
        <v>1</v>
      </c>
      <c r="L148">
        <f t="shared" si="13"/>
        <v>0</v>
      </c>
      <c r="M148">
        <v>3</v>
      </c>
      <c r="N148">
        <v>18.64</v>
      </c>
      <c r="O148" s="23">
        <v>1.36</v>
      </c>
      <c r="U148" s="2">
        <v>0.67508094538181496</v>
      </c>
      <c r="V148">
        <f>N148*Regression!$B$23</f>
        <v>1.7570719868427354</v>
      </c>
      <c r="W148">
        <f>M148*Regression!$B$22</f>
        <v>0.52489311164102437</v>
      </c>
      <c r="X148">
        <f>I148*Regression!$B$18</f>
        <v>0</v>
      </c>
      <c r="Y148">
        <f>J148*Regression!$B$19</f>
        <v>0</v>
      </c>
      <c r="Z148">
        <f>K148*Regression!$B$20</f>
        <v>5.3005304982935736E-2</v>
      </c>
      <c r="AA148">
        <f>L148*Regression!$B$21</f>
        <v>0</v>
      </c>
      <c r="AB148" s="25">
        <f t="shared" si="14"/>
        <v>3.0100513488485103</v>
      </c>
    </row>
    <row r="149" spans="1:28" ht="15.5" x14ac:dyDescent="0.35">
      <c r="A149" t="s">
        <v>7</v>
      </c>
      <c r="B149" t="s">
        <v>8</v>
      </c>
      <c r="C149" t="s">
        <v>14</v>
      </c>
      <c r="D149" t="s">
        <v>15</v>
      </c>
      <c r="E149">
        <v>2</v>
      </c>
      <c r="F149">
        <v>11.87</v>
      </c>
      <c r="G149">
        <v>1.63</v>
      </c>
      <c r="I149">
        <f t="shared" si="10"/>
        <v>0</v>
      </c>
      <c r="J149">
        <f t="shared" si="11"/>
        <v>0</v>
      </c>
      <c r="K149">
        <f t="shared" si="12"/>
        <v>1</v>
      </c>
      <c r="L149">
        <f t="shared" si="13"/>
        <v>0</v>
      </c>
      <c r="M149">
        <v>2</v>
      </c>
      <c r="N149">
        <v>11.87</v>
      </c>
      <c r="O149" s="23">
        <v>1.63</v>
      </c>
      <c r="U149" s="2">
        <v>0.67508094538181496</v>
      </c>
      <c r="V149">
        <f>N149*Regression!$B$23</f>
        <v>1.1189079658703469</v>
      </c>
      <c r="W149">
        <f>M149*Regression!$B$22</f>
        <v>0.34992874109401623</v>
      </c>
      <c r="X149">
        <f>I149*Regression!$B$18</f>
        <v>0</v>
      </c>
      <c r="Y149">
        <f>J149*Regression!$B$19</f>
        <v>0</v>
      </c>
      <c r="Z149">
        <f>K149*Regression!$B$20</f>
        <v>5.3005304982935736E-2</v>
      </c>
      <c r="AA149">
        <f>L149*Regression!$B$21</f>
        <v>0</v>
      </c>
      <c r="AB149" s="25">
        <f t="shared" si="14"/>
        <v>2.1969229573291136</v>
      </c>
    </row>
    <row r="150" spans="1:28" ht="15.5" x14ac:dyDescent="0.35">
      <c r="A150" t="s">
        <v>11</v>
      </c>
      <c r="B150" t="s">
        <v>8</v>
      </c>
      <c r="C150" t="s">
        <v>14</v>
      </c>
      <c r="D150" t="s">
        <v>15</v>
      </c>
      <c r="E150">
        <v>2</v>
      </c>
      <c r="F150">
        <v>9.7799999999999994</v>
      </c>
      <c r="G150">
        <v>1.73</v>
      </c>
      <c r="I150">
        <f t="shared" si="10"/>
        <v>1</v>
      </c>
      <c r="J150">
        <f t="shared" si="11"/>
        <v>0</v>
      </c>
      <c r="K150">
        <f t="shared" si="12"/>
        <v>1</v>
      </c>
      <c r="L150">
        <f t="shared" si="13"/>
        <v>0</v>
      </c>
      <c r="M150">
        <v>2</v>
      </c>
      <c r="N150">
        <v>9.7799999999999994</v>
      </c>
      <c r="O150" s="23">
        <v>1.73</v>
      </c>
      <c r="U150" s="2">
        <v>0.67508094538181496</v>
      </c>
      <c r="V150">
        <f>N150*Regression!$B$23</f>
        <v>0.92189721198079133</v>
      </c>
      <c r="W150">
        <f>M150*Regression!$B$22</f>
        <v>0.34992874109401623</v>
      </c>
      <c r="X150">
        <f>I150*Regression!$B$18</f>
        <v>-3.6632514766371221E-2</v>
      </c>
      <c r="Y150">
        <f>J150*Regression!$B$19</f>
        <v>0</v>
      </c>
      <c r="Z150">
        <f>K150*Regression!$B$20</f>
        <v>5.3005304982935736E-2</v>
      </c>
      <c r="AA150">
        <f>L150*Regression!$B$21</f>
        <v>0</v>
      </c>
      <c r="AB150" s="25">
        <f t="shared" si="14"/>
        <v>1.9632796886731869</v>
      </c>
    </row>
    <row r="151" spans="1:28" ht="15.5" x14ac:dyDescent="0.35">
      <c r="A151" t="s">
        <v>11</v>
      </c>
      <c r="B151" t="s">
        <v>8</v>
      </c>
      <c r="C151" t="s">
        <v>14</v>
      </c>
      <c r="D151" t="s">
        <v>15</v>
      </c>
      <c r="E151">
        <v>2</v>
      </c>
      <c r="F151">
        <v>7.51</v>
      </c>
      <c r="G151">
        <v>2</v>
      </c>
      <c r="I151">
        <f t="shared" si="10"/>
        <v>1</v>
      </c>
      <c r="J151">
        <f t="shared" si="11"/>
        <v>0</v>
      </c>
      <c r="K151">
        <f t="shared" si="12"/>
        <v>1</v>
      </c>
      <c r="L151">
        <f t="shared" si="13"/>
        <v>0</v>
      </c>
      <c r="M151">
        <v>2</v>
      </c>
      <c r="N151">
        <v>7.51</v>
      </c>
      <c r="O151" s="23">
        <v>2</v>
      </c>
      <c r="U151" s="2">
        <v>0.67508094538181496</v>
      </c>
      <c r="V151">
        <f>N151*Regression!$B$23</f>
        <v>0.70791902474189594</v>
      </c>
      <c r="W151">
        <f>M151*Regression!$B$22</f>
        <v>0.34992874109401623</v>
      </c>
      <c r="X151">
        <f>I151*Regression!$B$18</f>
        <v>-3.6632514766371221E-2</v>
      </c>
      <c r="Y151">
        <f>J151*Regression!$B$19</f>
        <v>0</v>
      </c>
      <c r="Z151">
        <f>K151*Regression!$B$20</f>
        <v>5.3005304982935736E-2</v>
      </c>
      <c r="AA151">
        <f>L151*Regression!$B$21</f>
        <v>0</v>
      </c>
      <c r="AB151" s="25">
        <f t="shared" si="14"/>
        <v>1.7493015014342916</v>
      </c>
    </row>
    <row r="152" spans="1:28" ht="15.5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  <c r="I152">
        <f t="shared" si="10"/>
        <v>1</v>
      </c>
      <c r="J152">
        <f t="shared" si="11"/>
        <v>0</v>
      </c>
      <c r="K152">
        <f t="shared" si="12"/>
        <v>4</v>
      </c>
      <c r="L152">
        <f t="shared" si="13"/>
        <v>1</v>
      </c>
      <c r="M152">
        <v>2</v>
      </c>
      <c r="N152">
        <v>14.07</v>
      </c>
      <c r="O152" s="23">
        <v>2.5</v>
      </c>
      <c r="U152" s="2">
        <v>0.67508094538181496</v>
      </c>
      <c r="V152">
        <f>N152*Regression!$B$23</f>
        <v>1.3262877068067214</v>
      </c>
      <c r="W152">
        <f>M152*Regression!$B$22</f>
        <v>0.34992874109401623</v>
      </c>
      <c r="X152">
        <f>I152*Regression!$B$18</f>
        <v>-3.6632514766371221E-2</v>
      </c>
      <c r="Y152">
        <f>J152*Regression!$B$19</f>
        <v>0</v>
      </c>
      <c r="Z152">
        <f>K152*Regression!$B$20</f>
        <v>0.21202121993174294</v>
      </c>
      <c r="AA152">
        <f>L152*Regression!$B$21</f>
        <v>-0.11600626172099011</v>
      </c>
      <c r="AB152" s="25">
        <f t="shared" si="14"/>
        <v>2.410679836726934</v>
      </c>
    </row>
    <row r="153" spans="1:28" ht="15.5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  <c r="I153">
        <f t="shared" si="10"/>
        <v>1</v>
      </c>
      <c r="J153">
        <f t="shared" si="11"/>
        <v>0</v>
      </c>
      <c r="K153">
        <f t="shared" si="12"/>
        <v>4</v>
      </c>
      <c r="L153">
        <f t="shared" si="13"/>
        <v>1</v>
      </c>
      <c r="M153">
        <v>2</v>
      </c>
      <c r="N153">
        <v>13.13</v>
      </c>
      <c r="O153" s="23">
        <v>2</v>
      </c>
      <c r="U153" s="2">
        <v>0.67508094538181496</v>
      </c>
      <c r="V153">
        <f>N153*Regression!$B$23</f>
        <v>1.237679999315725</v>
      </c>
      <c r="W153">
        <f>M153*Regression!$B$22</f>
        <v>0.34992874109401623</v>
      </c>
      <c r="X153">
        <f>I153*Regression!$B$18</f>
        <v>-3.6632514766371221E-2</v>
      </c>
      <c r="Y153">
        <f>J153*Regression!$B$19</f>
        <v>0</v>
      </c>
      <c r="Z153">
        <f>K153*Regression!$B$20</f>
        <v>0.21202121993174294</v>
      </c>
      <c r="AA153">
        <f>L153*Regression!$B$21</f>
        <v>-0.11600626172099011</v>
      </c>
      <c r="AB153" s="25">
        <f t="shared" si="14"/>
        <v>2.3220721292359379</v>
      </c>
    </row>
    <row r="154" spans="1:28" ht="15.5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  <c r="I154">
        <f t="shared" si="10"/>
        <v>1</v>
      </c>
      <c r="J154">
        <f t="shared" si="11"/>
        <v>0</v>
      </c>
      <c r="K154">
        <f t="shared" si="12"/>
        <v>4</v>
      </c>
      <c r="L154">
        <f t="shared" si="13"/>
        <v>1</v>
      </c>
      <c r="M154">
        <v>3</v>
      </c>
      <c r="N154">
        <v>17.260000000000002</v>
      </c>
      <c r="O154" s="23">
        <v>2.74</v>
      </c>
      <c r="U154" s="2">
        <v>0.67508094538181496</v>
      </c>
      <c r="V154">
        <f>N154*Regression!$B$23</f>
        <v>1.6269883311644642</v>
      </c>
      <c r="W154">
        <f>M154*Regression!$B$22</f>
        <v>0.52489311164102437</v>
      </c>
      <c r="X154">
        <f>I154*Regression!$B$18</f>
        <v>-3.6632514766371221E-2</v>
      </c>
      <c r="Y154">
        <f>J154*Regression!$B$19</f>
        <v>0</v>
      </c>
      <c r="Z154">
        <f>K154*Regression!$B$20</f>
        <v>0.21202121993174294</v>
      </c>
      <c r="AA154">
        <f>L154*Regression!$B$21</f>
        <v>-0.11600626172099011</v>
      </c>
      <c r="AB154" s="25">
        <f t="shared" si="14"/>
        <v>2.8863448316316851</v>
      </c>
    </row>
    <row r="155" spans="1:28" ht="15.5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  <c r="I155">
        <f t="shared" si="10"/>
        <v>1</v>
      </c>
      <c r="J155">
        <f t="shared" si="11"/>
        <v>0</v>
      </c>
      <c r="K155">
        <f t="shared" si="12"/>
        <v>4</v>
      </c>
      <c r="L155">
        <f t="shared" si="13"/>
        <v>1</v>
      </c>
      <c r="M155">
        <v>4</v>
      </c>
      <c r="N155">
        <v>24.55</v>
      </c>
      <c r="O155" s="23">
        <v>2</v>
      </c>
      <c r="U155" s="2">
        <v>0.67508094538181496</v>
      </c>
      <c r="V155">
        <f>N155*Regression!$B$23</f>
        <v>2.3141693818127229</v>
      </c>
      <c r="W155">
        <f>M155*Regression!$B$22</f>
        <v>0.69985748218803245</v>
      </c>
      <c r="X155">
        <f>I155*Regression!$B$18</f>
        <v>-3.6632514766371221E-2</v>
      </c>
      <c r="Y155">
        <f>J155*Regression!$B$19</f>
        <v>0</v>
      </c>
      <c r="Z155">
        <f>K155*Regression!$B$20</f>
        <v>0.21202121993174294</v>
      </c>
      <c r="AA155">
        <f>L155*Regression!$B$21</f>
        <v>-0.11600626172099011</v>
      </c>
      <c r="AB155" s="25">
        <f t="shared" si="14"/>
        <v>3.7484902528269517</v>
      </c>
    </row>
    <row r="156" spans="1:28" ht="15.5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  <c r="I156">
        <f t="shared" si="10"/>
        <v>1</v>
      </c>
      <c r="J156">
        <f t="shared" si="11"/>
        <v>0</v>
      </c>
      <c r="K156">
        <f t="shared" si="12"/>
        <v>4</v>
      </c>
      <c r="L156">
        <f t="shared" si="13"/>
        <v>1</v>
      </c>
      <c r="M156">
        <v>4</v>
      </c>
      <c r="N156">
        <v>19.77</v>
      </c>
      <c r="O156" s="23">
        <v>2</v>
      </c>
      <c r="U156" s="2">
        <v>0.67508094538181496</v>
      </c>
      <c r="V156">
        <f>N156*Regression!$B$23</f>
        <v>1.8635897628691456</v>
      </c>
      <c r="W156">
        <f>M156*Regression!$B$22</f>
        <v>0.69985748218803245</v>
      </c>
      <c r="X156">
        <f>I156*Regression!$B$18</f>
        <v>-3.6632514766371221E-2</v>
      </c>
      <c r="Y156">
        <f>J156*Regression!$B$19</f>
        <v>0</v>
      </c>
      <c r="Z156">
        <f>K156*Regression!$B$20</f>
        <v>0.21202121993174294</v>
      </c>
      <c r="AA156">
        <f>L156*Regression!$B$21</f>
        <v>-0.11600626172099011</v>
      </c>
      <c r="AB156" s="25">
        <f t="shared" si="14"/>
        <v>3.2979106338833746</v>
      </c>
    </row>
    <row r="157" spans="1:28" ht="15.5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  <c r="I157">
        <f t="shared" si="10"/>
        <v>0</v>
      </c>
      <c r="J157">
        <f t="shared" si="11"/>
        <v>0</v>
      </c>
      <c r="K157">
        <f t="shared" si="12"/>
        <v>4</v>
      </c>
      <c r="L157">
        <f t="shared" si="13"/>
        <v>1</v>
      </c>
      <c r="M157">
        <v>5</v>
      </c>
      <c r="N157">
        <v>29.85</v>
      </c>
      <c r="O157" s="23">
        <v>5.14</v>
      </c>
      <c r="U157" s="2">
        <v>0.67508094538181496</v>
      </c>
      <c r="V157">
        <f>N157*Regression!$B$23</f>
        <v>2.8137660304321699</v>
      </c>
      <c r="W157">
        <f>M157*Regression!$B$22</f>
        <v>0.87482185273504054</v>
      </c>
      <c r="X157">
        <f>I157*Regression!$B$18</f>
        <v>0</v>
      </c>
      <c r="Y157">
        <f>J157*Regression!$B$19</f>
        <v>0</v>
      </c>
      <c r="Z157">
        <f>K157*Regression!$B$20</f>
        <v>0.21202121993174294</v>
      </c>
      <c r="AA157">
        <f>L157*Regression!$B$21</f>
        <v>-0.11600626172099011</v>
      </c>
      <c r="AB157" s="25">
        <f t="shared" si="14"/>
        <v>4.4596837867597783</v>
      </c>
    </row>
    <row r="158" spans="1:28" ht="15.5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  <c r="I158">
        <f t="shared" si="10"/>
        <v>1</v>
      </c>
      <c r="J158">
        <f t="shared" si="11"/>
        <v>0</v>
      </c>
      <c r="K158">
        <f t="shared" si="12"/>
        <v>4</v>
      </c>
      <c r="L158">
        <f t="shared" si="13"/>
        <v>1</v>
      </c>
      <c r="M158">
        <v>6</v>
      </c>
      <c r="N158">
        <v>48.17</v>
      </c>
      <c r="O158" s="23">
        <v>5</v>
      </c>
      <c r="U158" s="2">
        <v>0.67508094538181496</v>
      </c>
      <c r="V158">
        <f>N158*Regression!$B$23</f>
        <v>4.5406736913205235</v>
      </c>
      <c r="W158">
        <f>M158*Regression!$B$22</f>
        <v>1.0497862232820487</v>
      </c>
      <c r="X158">
        <f>I158*Regression!$B$18</f>
        <v>-3.6632514766371221E-2</v>
      </c>
      <c r="Y158">
        <f>J158*Regression!$B$19</f>
        <v>0</v>
      </c>
      <c r="Z158">
        <f>K158*Regression!$B$20</f>
        <v>0.21202121993174294</v>
      </c>
      <c r="AA158">
        <f>L158*Regression!$B$21</f>
        <v>-0.11600626172099011</v>
      </c>
      <c r="AB158" s="25">
        <f t="shared" si="14"/>
        <v>6.3249233034287693</v>
      </c>
    </row>
    <row r="159" spans="1:28" ht="15.5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  <c r="I159">
        <f t="shared" si="10"/>
        <v>0</v>
      </c>
      <c r="J159">
        <f t="shared" si="11"/>
        <v>0</v>
      </c>
      <c r="K159">
        <f t="shared" si="12"/>
        <v>4</v>
      </c>
      <c r="L159">
        <f t="shared" si="13"/>
        <v>1</v>
      </c>
      <c r="M159">
        <v>4</v>
      </c>
      <c r="N159">
        <v>25</v>
      </c>
      <c r="O159" s="23">
        <v>3.75</v>
      </c>
      <c r="U159" s="2">
        <v>0.67508094538181496</v>
      </c>
      <c r="V159">
        <f>N159*Regression!$B$23</f>
        <v>2.3565879651860722</v>
      </c>
      <c r="W159">
        <f>M159*Regression!$B$22</f>
        <v>0.69985748218803245</v>
      </c>
      <c r="X159">
        <f>I159*Regression!$B$18</f>
        <v>0</v>
      </c>
      <c r="Y159">
        <f>J159*Regression!$B$19</f>
        <v>0</v>
      </c>
      <c r="Z159">
        <f>K159*Regression!$B$20</f>
        <v>0.21202121993174294</v>
      </c>
      <c r="AA159">
        <f>L159*Regression!$B$21</f>
        <v>-0.11600626172099011</v>
      </c>
      <c r="AB159" s="25">
        <f t="shared" si="14"/>
        <v>3.8275413509666723</v>
      </c>
    </row>
    <row r="160" spans="1:28" ht="15.5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  <c r="I160">
        <f t="shared" si="10"/>
        <v>0</v>
      </c>
      <c r="J160">
        <f t="shared" si="11"/>
        <v>0</v>
      </c>
      <c r="K160">
        <f t="shared" si="12"/>
        <v>4</v>
      </c>
      <c r="L160">
        <f t="shared" si="13"/>
        <v>1</v>
      </c>
      <c r="M160">
        <v>2</v>
      </c>
      <c r="N160">
        <v>13.39</v>
      </c>
      <c r="O160" s="23">
        <v>2.61</v>
      </c>
      <c r="U160" s="2">
        <v>0.67508094538181496</v>
      </c>
      <c r="V160">
        <f>N160*Regression!$B$23</f>
        <v>1.2621885141536602</v>
      </c>
      <c r="W160">
        <f>M160*Regression!$B$22</f>
        <v>0.34992874109401623</v>
      </c>
      <c r="X160">
        <f>I160*Regression!$B$18</f>
        <v>0</v>
      </c>
      <c r="Y160">
        <f>J160*Regression!$B$19</f>
        <v>0</v>
      </c>
      <c r="Z160">
        <f>K160*Regression!$B$20</f>
        <v>0.21202121993174294</v>
      </c>
      <c r="AA160">
        <f>L160*Regression!$B$21</f>
        <v>-0.11600626172099011</v>
      </c>
      <c r="AB160" s="25">
        <f t="shared" si="14"/>
        <v>2.3832131588402441</v>
      </c>
    </row>
    <row r="161" spans="1:28" ht="15.5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  <c r="I161">
        <f t="shared" si="10"/>
        <v>1</v>
      </c>
      <c r="J161">
        <f t="shared" si="11"/>
        <v>0</v>
      </c>
      <c r="K161">
        <f t="shared" si="12"/>
        <v>4</v>
      </c>
      <c r="L161">
        <f t="shared" si="13"/>
        <v>1</v>
      </c>
      <c r="M161">
        <v>4</v>
      </c>
      <c r="N161">
        <v>16.489999999999998</v>
      </c>
      <c r="O161" s="23">
        <v>2</v>
      </c>
      <c r="U161" s="2">
        <v>0.67508094538181496</v>
      </c>
      <c r="V161">
        <f>N161*Regression!$B$23</f>
        <v>1.5544054218367329</v>
      </c>
      <c r="W161">
        <f>M161*Regression!$B$22</f>
        <v>0.69985748218803245</v>
      </c>
      <c r="X161">
        <f>I161*Regression!$B$18</f>
        <v>-3.6632514766371221E-2</v>
      </c>
      <c r="Y161">
        <f>J161*Regression!$B$19</f>
        <v>0</v>
      </c>
      <c r="Z161">
        <f>K161*Regression!$B$20</f>
        <v>0.21202121993174294</v>
      </c>
      <c r="AA161">
        <f>L161*Regression!$B$21</f>
        <v>-0.11600626172099011</v>
      </c>
      <c r="AB161" s="25">
        <f t="shared" si="14"/>
        <v>2.9887262928509615</v>
      </c>
    </row>
    <row r="162" spans="1:28" ht="15.5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  <c r="I162">
        <f t="shared" si="10"/>
        <v>1</v>
      </c>
      <c r="J162">
        <f t="shared" si="11"/>
        <v>0</v>
      </c>
      <c r="K162">
        <f t="shared" si="12"/>
        <v>4</v>
      </c>
      <c r="L162">
        <f t="shared" si="13"/>
        <v>1</v>
      </c>
      <c r="M162">
        <v>4</v>
      </c>
      <c r="N162">
        <v>21.5</v>
      </c>
      <c r="O162" s="23">
        <v>3.5</v>
      </c>
      <c r="U162" s="2">
        <v>0.67508094538181496</v>
      </c>
      <c r="V162">
        <f>N162*Regression!$B$23</f>
        <v>2.0266656500600218</v>
      </c>
      <c r="W162">
        <f>M162*Regression!$B$22</f>
        <v>0.69985748218803245</v>
      </c>
      <c r="X162">
        <f>I162*Regression!$B$18</f>
        <v>-3.6632514766371221E-2</v>
      </c>
      <c r="Y162">
        <f>J162*Regression!$B$19</f>
        <v>0</v>
      </c>
      <c r="Z162">
        <f>K162*Regression!$B$20</f>
        <v>0.21202121993174294</v>
      </c>
      <c r="AA162">
        <f>L162*Regression!$B$21</f>
        <v>-0.11600626172099011</v>
      </c>
      <c r="AB162" s="25">
        <f t="shared" si="14"/>
        <v>3.4609865210742505</v>
      </c>
    </row>
    <row r="163" spans="1:28" ht="15.5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  <c r="I163">
        <f t="shared" si="10"/>
        <v>1</v>
      </c>
      <c r="J163">
        <f t="shared" si="11"/>
        <v>0</v>
      </c>
      <c r="K163">
        <f t="shared" si="12"/>
        <v>4</v>
      </c>
      <c r="L163">
        <f t="shared" si="13"/>
        <v>1</v>
      </c>
      <c r="M163">
        <v>2</v>
      </c>
      <c r="N163">
        <v>12.66</v>
      </c>
      <c r="O163" s="23">
        <v>2.5</v>
      </c>
      <c r="U163" s="2">
        <v>0.67508094538181496</v>
      </c>
      <c r="V163">
        <f>N163*Regression!$B$23</f>
        <v>1.1933761455702268</v>
      </c>
      <c r="W163">
        <f>M163*Regression!$B$22</f>
        <v>0.34992874109401623</v>
      </c>
      <c r="X163">
        <f>I163*Regression!$B$18</f>
        <v>-3.6632514766371221E-2</v>
      </c>
      <c r="Y163">
        <f>J163*Regression!$B$19</f>
        <v>0</v>
      </c>
      <c r="Z163">
        <f>K163*Regression!$B$20</f>
        <v>0.21202121993174294</v>
      </c>
      <c r="AA163">
        <f>L163*Regression!$B$21</f>
        <v>-0.11600626172099011</v>
      </c>
      <c r="AB163" s="25">
        <f t="shared" si="14"/>
        <v>2.2777682754904394</v>
      </c>
    </row>
    <row r="164" spans="1:28" ht="15.5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  <c r="I164">
        <f t="shared" si="10"/>
        <v>0</v>
      </c>
      <c r="J164">
        <f t="shared" si="11"/>
        <v>0</v>
      </c>
      <c r="K164">
        <f t="shared" si="12"/>
        <v>4</v>
      </c>
      <c r="L164">
        <f t="shared" si="13"/>
        <v>1</v>
      </c>
      <c r="M164">
        <v>3</v>
      </c>
      <c r="N164">
        <v>16.21</v>
      </c>
      <c r="O164" s="23">
        <v>2</v>
      </c>
      <c r="U164" s="2">
        <v>0.67508094538181496</v>
      </c>
      <c r="V164">
        <f>N164*Regression!$B$23</f>
        <v>1.5280116366266492</v>
      </c>
      <c r="W164">
        <f>M164*Regression!$B$22</f>
        <v>0.52489311164102437</v>
      </c>
      <c r="X164">
        <f>I164*Regression!$B$18</f>
        <v>0</v>
      </c>
      <c r="Y164">
        <f>J164*Regression!$B$19</f>
        <v>0</v>
      </c>
      <c r="Z164">
        <f>K164*Regression!$B$20</f>
        <v>0.21202121993174294</v>
      </c>
      <c r="AA164">
        <f>L164*Regression!$B$21</f>
        <v>-0.11600626172099011</v>
      </c>
      <c r="AB164" s="25">
        <f t="shared" si="14"/>
        <v>2.8240006518602416</v>
      </c>
    </row>
    <row r="165" spans="1:28" ht="15.5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  <c r="I165">
        <f t="shared" si="10"/>
        <v>1</v>
      </c>
      <c r="J165">
        <f t="shared" si="11"/>
        <v>0</v>
      </c>
      <c r="K165">
        <f t="shared" si="12"/>
        <v>4</v>
      </c>
      <c r="L165">
        <f t="shared" si="13"/>
        <v>1</v>
      </c>
      <c r="M165">
        <v>2</v>
      </c>
      <c r="N165">
        <v>13.81</v>
      </c>
      <c r="O165" s="23">
        <v>2</v>
      </c>
      <c r="U165" s="2">
        <v>0.67508094538181496</v>
      </c>
      <c r="V165">
        <f>N165*Regression!$B$23</f>
        <v>1.3017791919687862</v>
      </c>
      <c r="W165">
        <f>M165*Regression!$B$22</f>
        <v>0.34992874109401623</v>
      </c>
      <c r="X165">
        <f>I165*Regression!$B$18</f>
        <v>-3.6632514766371221E-2</v>
      </c>
      <c r="Y165">
        <f>J165*Regression!$B$19</f>
        <v>0</v>
      </c>
      <c r="Z165">
        <f>K165*Regression!$B$20</f>
        <v>0.21202121993174294</v>
      </c>
      <c r="AA165">
        <f>L165*Regression!$B$21</f>
        <v>-0.11600626172099011</v>
      </c>
      <c r="AB165" s="25">
        <f t="shared" si="14"/>
        <v>2.3861713218889991</v>
      </c>
    </row>
    <row r="166" spans="1:28" ht="15.5" x14ac:dyDescent="0.35">
      <c r="A166" t="s">
        <v>7</v>
      </c>
      <c r="B166" t="s">
        <v>13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  <c r="I166">
        <f t="shared" si="10"/>
        <v>0</v>
      </c>
      <c r="J166">
        <f t="shared" si="11"/>
        <v>1</v>
      </c>
      <c r="K166">
        <f t="shared" si="12"/>
        <v>4</v>
      </c>
      <c r="L166">
        <f t="shared" si="13"/>
        <v>1</v>
      </c>
      <c r="M166">
        <v>2</v>
      </c>
      <c r="N166">
        <v>17.510000000000002</v>
      </c>
      <c r="O166" s="23">
        <v>3</v>
      </c>
      <c r="U166" s="2">
        <v>0.67508094538181496</v>
      </c>
      <c r="V166">
        <f>N166*Regression!$B$23</f>
        <v>1.6505542108163249</v>
      </c>
      <c r="W166">
        <f>M166*Regression!$B$22</f>
        <v>0.34992874109401623</v>
      </c>
      <c r="X166">
        <f>I166*Regression!$B$18</f>
        <v>0</v>
      </c>
      <c r="Y166">
        <f>J166*Regression!$B$19</f>
        <v>-7.2844330789933256E-2</v>
      </c>
      <c r="Z166">
        <f>K166*Regression!$B$20</f>
        <v>0.21202121993174294</v>
      </c>
      <c r="AA166">
        <f>L166*Regression!$B$21</f>
        <v>-0.11600626172099011</v>
      </c>
      <c r="AB166" s="25">
        <f t="shared" si="14"/>
        <v>2.6987345247129757</v>
      </c>
    </row>
    <row r="167" spans="1:28" ht="15.5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  <c r="I167">
        <f t="shared" si="10"/>
        <v>1</v>
      </c>
      <c r="J167">
        <f t="shared" si="11"/>
        <v>0</v>
      </c>
      <c r="K167">
        <f t="shared" si="12"/>
        <v>4</v>
      </c>
      <c r="L167">
        <f t="shared" si="13"/>
        <v>1</v>
      </c>
      <c r="M167">
        <v>3</v>
      </c>
      <c r="N167">
        <v>24.52</v>
      </c>
      <c r="O167" s="23">
        <v>3.48</v>
      </c>
      <c r="U167" s="2">
        <v>0.67508094538181496</v>
      </c>
      <c r="V167">
        <f>N167*Regression!$B$23</f>
        <v>2.3113414762544995</v>
      </c>
      <c r="W167">
        <f>M167*Regression!$B$22</f>
        <v>0.52489311164102437</v>
      </c>
      <c r="X167">
        <f>I167*Regression!$B$18</f>
        <v>-3.6632514766371221E-2</v>
      </c>
      <c r="Y167">
        <f>J167*Regression!$B$19</f>
        <v>0</v>
      </c>
      <c r="Z167">
        <f>K167*Regression!$B$20</f>
        <v>0.21202121993174294</v>
      </c>
      <c r="AA167">
        <f>L167*Regression!$B$21</f>
        <v>-0.11600626172099011</v>
      </c>
      <c r="AB167" s="25">
        <f t="shared" si="14"/>
        <v>3.5706979767217204</v>
      </c>
    </row>
    <row r="168" spans="1:28" ht="15.5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  <c r="I168">
        <f t="shared" si="10"/>
        <v>1</v>
      </c>
      <c r="J168">
        <f t="shared" si="11"/>
        <v>0</v>
      </c>
      <c r="K168">
        <f t="shared" si="12"/>
        <v>4</v>
      </c>
      <c r="L168">
        <f t="shared" si="13"/>
        <v>1</v>
      </c>
      <c r="M168">
        <v>2</v>
      </c>
      <c r="N168">
        <v>20.76</v>
      </c>
      <c r="O168" s="23">
        <v>2.2400000000000002</v>
      </c>
      <c r="U168" s="2">
        <v>0.67508094538181496</v>
      </c>
      <c r="V168">
        <f>N168*Regression!$B$23</f>
        <v>1.9569106462905144</v>
      </c>
      <c r="W168">
        <f>M168*Regression!$B$22</f>
        <v>0.34992874109401623</v>
      </c>
      <c r="X168">
        <f>I168*Regression!$B$18</f>
        <v>-3.6632514766371221E-2</v>
      </c>
      <c r="Y168">
        <f>J168*Regression!$B$19</f>
        <v>0</v>
      </c>
      <c r="Z168">
        <f>K168*Regression!$B$20</f>
        <v>0.21202121993174294</v>
      </c>
      <c r="AA168">
        <f>L168*Regression!$B$21</f>
        <v>-0.11600626172099011</v>
      </c>
      <c r="AB168" s="25">
        <f t="shared" si="14"/>
        <v>3.0413027762107268</v>
      </c>
    </row>
    <row r="169" spans="1:28" ht="15.5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  <c r="I169">
        <f t="shared" si="10"/>
        <v>1</v>
      </c>
      <c r="J169">
        <f t="shared" si="11"/>
        <v>0</v>
      </c>
      <c r="K169">
        <f t="shared" si="12"/>
        <v>4</v>
      </c>
      <c r="L169">
        <f t="shared" si="13"/>
        <v>1</v>
      </c>
      <c r="M169">
        <v>4</v>
      </c>
      <c r="N169">
        <v>31.71</v>
      </c>
      <c r="O169" s="23">
        <v>4.5</v>
      </c>
      <c r="U169" s="2">
        <v>0.67508094538181496</v>
      </c>
      <c r="V169">
        <f>N169*Regression!$B$23</f>
        <v>2.9890961750420137</v>
      </c>
      <c r="W169">
        <f>M169*Regression!$B$22</f>
        <v>0.69985748218803245</v>
      </c>
      <c r="X169">
        <f>I169*Regression!$B$18</f>
        <v>-3.6632514766371221E-2</v>
      </c>
      <c r="Y169">
        <f>J169*Regression!$B$19</f>
        <v>0</v>
      </c>
      <c r="Z169">
        <f>K169*Regression!$B$20</f>
        <v>0.21202121993174294</v>
      </c>
      <c r="AA169">
        <f>L169*Regression!$B$21</f>
        <v>-0.11600626172099011</v>
      </c>
      <c r="AB169" s="25">
        <f t="shared" si="14"/>
        <v>4.423417046056243</v>
      </c>
    </row>
    <row r="170" spans="1:28" ht="15.5" x14ac:dyDescent="0.35">
      <c r="A170" t="s">
        <v>7</v>
      </c>
      <c r="B170" t="s">
        <v>13</v>
      </c>
      <c r="C170" t="s">
        <v>12</v>
      </c>
      <c r="D170" t="s">
        <v>10</v>
      </c>
      <c r="E170">
        <v>2</v>
      </c>
      <c r="F170">
        <v>10.59</v>
      </c>
      <c r="G170">
        <v>1.61</v>
      </c>
      <c r="I170">
        <f t="shared" si="10"/>
        <v>0</v>
      </c>
      <c r="J170">
        <f t="shared" si="11"/>
        <v>1</v>
      </c>
      <c r="K170">
        <f t="shared" si="12"/>
        <v>3</v>
      </c>
      <c r="L170">
        <f t="shared" si="13"/>
        <v>1</v>
      </c>
      <c r="M170">
        <v>2</v>
      </c>
      <c r="N170">
        <v>10.59</v>
      </c>
      <c r="O170" s="23">
        <v>1.61</v>
      </c>
      <c r="U170" s="2">
        <v>0.67508094538181496</v>
      </c>
      <c r="V170">
        <f>N170*Regression!$B$23</f>
        <v>0.99825066205282009</v>
      </c>
      <c r="W170">
        <f>M170*Regression!$B$22</f>
        <v>0.34992874109401623</v>
      </c>
      <c r="X170">
        <f>I170*Regression!$B$18</f>
        <v>0</v>
      </c>
      <c r="Y170">
        <f>J170*Regression!$B$19</f>
        <v>-7.2844330789933256E-2</v>
      </c>
      <c r="Z170">
        <f>K170*Regression!$B$20</f>
        <v>0.15901591494880721</v>
      </c>
      <c r="AA170">
        <f>L170*Regression!$B$21</f>
        <v>-0.11600626172099011</v>
      </c>
      <c r="AB170" s="25">
        <f t="shared" si="14"/>
        <v>1.9934256709665352</v>
      </c>
    </row>
    <row r="171" spans="1:28" ht="15.5" x14ac:dyDescent="0.35">
      <c r="A171" t="s">
        <v>7</v>
      </c>
      <c r="B171" t="s">
        <v>13</v>
      </c>
      <c r="C171" t="s">
        <v>12</v>
      </c>
      <c r="D171" t="s">
        <v>10</v>
      </c>
      <c r="E171">
        <v>2</v>
      </c>
      <c r="F171">
        <v>10.63</v>
      </c>
      <c r="G171">
        <v>2</v>
      </c>
      <c r="I171">
        <f t="shared" si="10"/>
        <v>0</v>
      </c>
      <c r="J171">
        <f t="shared" si="11"/>
        <v>1</v>
      </c>
      <c r="K171">
        <f t="shared" si="12"/>
        <v>3</v>
      </c>
      <c r="L171">
        <f t="shared" si="13"/>
        <v>1</v>
      </c>
      <c r="M171">
        <v>2</v>
      </c>
      <c r="N171">
        <v>10.63</v>
      </c>
      <c r="O171" s="23">
        <v>2</v>
      </c>
      <c r="U171" s="2">
        <v>0.67508094538181496</v>
      </c>
      <c r="V171">
        <f>N171*Regression!$B$23</f>
        <v>1.0020212027971178</v>
      </c>
      <c r="W171">
        <f>M171*Regression!$B$22</f>
        <v>0.34992874109401623</v>
      </c>
      <c r="X171">
        <f>I171*Regression!$B$18</f>
        <v>0</v>
      </c>
      <c r="Y171">
        <f>J171*Regression!$B$19</f>
        <v>-7.2844330789933256E-2</v>
      </c>
      <c r="Z171">
        <f>K171*Regression!$B$20</f>
        <v>0.15901591494880721</v>
      </c>
      <c r="AA171">
        <f>L171*Regression!$B$21</f>
        <v>-0.11600626172099011</v>
      </c>
      <c r="AB171" s="25">
        <f t="shared" si="14"/>
        <v>1.9971962117108328</v>
      </c>
    </row>
    <row r="172" spans="1:28" ht="15.5" x14ac:dyDescent="0.35">
      <c r="A172" t="s">
        <v>11</v>
      </c>
      <c r="B172" t="s">
        <v>13</v>
      </c>
      <c r="C172" t="s">
        <v>12</v>
      </c>
      <c r="D172" t="s">
        <v>10</v>
      </c>
      <c r="E172">
        <v>3</v>
      </c>
      <c r="F172">
        <v>50.81</v>
      </c>
      <c r="G172">
        <v>10</v>
      </c>
      <c r="I172">
        <f t="shared" si="10"/>
        <v>1</v>
      </c>
      <c r="J172">
        <f t="shared" si="11"/>
        <v>1</v>
      </c>
      <c r="K172">
        <f t="shared" si="12"/>
        <v>3</v>
      </c>
      <c r="L172">
        <f t="shared" si="13"/>
        <v>1</v>
      </c>
      <c r="M172">
        <v>3</v>
      </c>
      <c r="N172">
        <v>50.81</v>
      </c>
      <c r="O172" s="23">
        <v>10</v>
      </c>
      <c r="U172" s="2">
        <v>0.67508094538181496</v>
      </c>
      <c r="V172">
        <f>N172*Regression!$B$23</f>
        <v>4.789529380444173</v>
      </c>
      <c r="W172">
        <f>M172*Regression!$B$22</f>
        <v>0.52489311164102437</v>
      </c>
      <c r="X172">
        <f>I172*Regression!$B$18</f>
        <v>-3.6632514766371221E-2</v>
      </c>
      <c r="Y172">
        <f>J172*Regression!$B$19</f>
        <v>-7.2844330789933256E-2</v>
      </c>
      <c r="Z172">
        <f>K172*Regression!$B$20</f>
        <v>0.15901591494880721</v>
      </c>
      <c r="AA172">
        <f>L172*Regression!$B$21</f>
        <v>-0.11600626172099011</v>
      </c>
      <c r="AB172" s="25">
        <f t="shared" si="14"/>
        <v>5.9230362451385252</v>
      </c>
    </row>
    <row r="173" spans="1:28" ht="15.5" x14ac:dyDescent="0.35">
      <c r="A173" t="s">
        <v>11</v>
      </c>
      <c r="B173" t="s">
        <v>13</v>
      </c>
      <c r="C173" t="s">
        <v>12</v>
      </c>
      <c r="D173" t="s">
        <v>10</v>
      </c>
      <c r="E173">
        <v>2</v>
      </c>
      <c r="F173">
        <v>15.81</v>
      </c>
      <c r="G173">
        <v>3.16</v>
      </c>
      <c r="I173">
        <f t="shared" si="10"/>
        <v>1</v>
      </c>
      <c r="J173">
        <f t="shared" si="11"/>
        <v>1</v>
      </c>
      <c r="K173">
        <f t="shared" si="12"/>
        <v>3</v>
      </c>
      <c r="L173">
        <f t="shared" si="13"/>
        <v>1</v>
      </c>
      <c r="M173">
        <v>2</v>
      </c>
      <c r="N173">
        <v>15.81</v>
      </c>
      <c r="O173" s="23">
        <v>3.16</v>
      </c>
      <c r="U173" s="2">
        <v>0.67508094538181496</v>
      </c>
      <c r="V173">
        <f>N173*Regression!$B$23</f>
        <v>1.4903062291836719</v>
      </c>
      <c r="W173">
        <f>M173*Regression!$B$22</f>
        <v>0.34992874109401623</v>
      </c>
      <c r="X173">
        <f>I173*Regression!$B$18</f>
        <v>-3.6632514766371221E-2</v>
      </c>
      <c r="Y173">
        <f>J173*Regression!$B$19</f>
        <v>-7.2844330789933256E-2</v>
      </c>
      <c r="Z173">
        <f>K173*Regression!$B$20</f>
        <v>0.15901591494880721</v>
      </c>
      <c r="AA173">
        <f>L173*Regression!$B$21</f>
        <v>-0.11600626172099011</v>
      </c>
      <c r="AB173" s="25">
        <f t="shared" si="14"/>
        <v>2.4488487233310154</v>
      </c>
    </row>
    <row r="174" spans="1:28" ht="15.5" x14ac:dyDescent="0.35">
      <c r="A174" t="s">
        <v>11</v>
      </c>
      <c r="B174" t="s">
        <v>13</v>
      </c>
      <c r="C174" t="s">
        <v>9</v>
      </c>
      <c r="D174" t="s">
        <v>10</v>
      </c>
      <c r="E174">
        <v>2</v>
      </c>
      <c r="F174">
        <v>7.25</v>
      </c>
      <c r="G174">
        <v>5.15</v>
      </c>
      <c r="I174">
        <f t="shared" si="10"/>
        <v>1</v>
      </c>
      <c r="J174">
        <f t="shared" si="11"/>
        <v>1</v>
      </c>
      <c r="K174">
        <f t="shared" si="12"/>
        <v>4</v>
      </c>
      <c r="L174">
        <f t="shared" si="13"/>
        <v>1</v>
      </c>
      <c r="M174">
        <v>2</v>
      </c>
      <c r="N174">
        <v>7.25</v>
      </c>
      <c r="O174" s="23">
        <v>5.15</v>
      </c>
      <c r="U174" s="2">
        <v>0.67508094538181496</v>
      </c>
      <c r="V174">
        <f>N174*Regression!$B$23</f>
        <v>0.68341050990396091</v>
      </c>
      <c r="W174">
        <f>M174*Regression!$B$22</f>
        <v>0.34992874109401623</v>
      </c>
      <c r="X174">
        <f>I174*Regression!$B$18</f>
        <v>-3.6632514766371221E-2</v>
      </c>
      <c r="Y174">
        <f>J174*Regression!$B$19</f>
        <v>-7.2844330789933256E-2</v>
      </c>
      <c r="Z174">
        <f>K174*Regression!$B$20</f>
        <v>0.21202121993174294</v>
      </c>
      <c r="AA174">
        <f>L174*Regression!$B$21</f>
        <v>-0.11600626172099011</v>
      </c>
      <c r="AB174" s="25">
        <f t="shared" si="14"/>
        <v>1.6949583090342404</v>
      </c>
    </row>
    <row r="175" spans="1:28" ht="15.5" x14ac:dyDescent="0.35">
      <c r="A175" t="s">
        <v>11</v>
      </c>
      <c r="B175" t="s">
        <v>13</v>
      </c>
      <c r="C175" t="s">
        <v>9</v>
      </c>
      <c r="D175" t="s">
        <v>10</v>
      </c>
      <c r="E175">
        <v>2</v>
      </c>
      <c r="F175">
        <v>31.85</v>
      </c>
      <c r="G175">
        <v>3.18</v>
      </c>
      <c r="I175">
        <f t="shared" si="10"/>
        <v>1</v>
      </c>
      <c r="J175">
        <f t="shared" si="11"/>
        <v>1</v>
      </c>
      <c r="K175">
        <f t="shared" si="12"/>
        <v>4</v>
      </c>
      <c r="L175">
        <f t="shared" si="13"/>
        <v>1</v>
      </c>
      <c r="M175">
        <v>2</v>
      </c>
      <c r="N175">
        <v>31.85</v>
      </c>
      <c r="O175" s="23">
        <v>3.18</v>
      </c>
      <c r="U175" s="2">
        <v>0.67508094538181496</v>
      </c>
      <c r="V175">
        <f>N175*Regression!$B$23</f>
        <v>3.0022930676470558</v>
      </c>
      <c r="W175">
        <f>M175*Regression!$B$22</f>
        <v>0.34992874109401623</v>
      </c>
      <c r="X175">
        <f>I175*Regression!$B$18</f>
        <v>-3.6632514766371221E-2</v>
      </c>
      <c r="Y175">
        <f>J175*Regression!$B$19</f>
        <v>-7.2844330789933256E-2</v>
      </c>
      <c r="Z175">
        <f>K175*Regression!$B$20</f>
        <v>0.21202121993174294</v>
      </c>
      <c r="AA175">
        <f>L175*Regression!$B$21</f>
        <v>-0.11600626172099011</v>
      </c>
      <c r="AB175" s="25">
        <f t="shared" si="14"/>
        <v>4.0138408667773353</v>
      </c>
    </row>
    <row r="176" spans="1:28" ht="15.5" x14ac:dyDescent="0.35">
      <c r="A176" t="s">
        <v>11</v>
      </c>
      <c r="B176" t="s">
        <v>13</v>
      </c>
      <c r="C176" t="s">
        <v>9</v>
      </c>
      <c r="D176" t="s">
        <v>10</v>
      </c>
      <c r="E176">
        <v>2</v>
      </c>
      <c r="F176">
        <v>16.82</v>
      </c>
      <c r="G176">
        <v>4</v>
      </c>
      <c r="I176">
        <f t="shared" si="10"/>
        <v>1</v>
      </c>
      <c r="J176">
        <f t="shared" si="11"/>
        <v>1</v>
      </c>
      <c r="K176">
        <f t="shared" si="12"/>
        <v>4</v>
      </c>
      <c r="L176">
        <f t="shared" si="13"/>
        <v>1</v>
      </c>
      <c r="M176">
        <v>2</v>
      </c>
      <c r="N176">
        <v>16.82</v>
      </c>
      <c r="O176" s="23">
        <v>4</v>
      </c>
      <c r="U176" s="2">
        <v>0.67508094538181496</v>
      </c>
      <c r="V176">
        <f>N176*Regression!$B$23</f>
        <v>1.5855123829771893</v>
      </c>
      <c r="W176">
        <f>M176*Regression!$B$22</f>
        <v>0.34992874109401623</v>
      </c>
      <c r="X176">
        <f>I176*Regression!$B$18</f>
        <v>-3.6632514766371221E-2</v>
      </c>
      <c r="Y176">
        <f>J176*Regression!$B$19</f>
        <v>-7.2844330789933256E-2</v>
      </c>
      <c r="Z176">
        <f>K176*Regression!$B$20</f>
        <v>0.21202121993174294</v>
      </c>
      <c r="AA176">
        <f>L176*Regression!$B$21</f>
        <v>-0.11600626172099011</v>
      </c>
      <c r="AB176" s="25">
        <f t="shared" si="14"/>
        <v>2.5970601821074686</v>
      </c>
    </row>
    <row r="177" spans="1:28" ht="15.5" x14ac:dyDescent="0.35">
      <c r="A177" t="s">
        <v>11</v>
      </c>
      <c r="B177" t="s">
        <v>13</v>
      </c>
      <c r="C177" t="s">
        <v>9</v>
      </c>
      <c r="D177" t="s">
        <v>10</v>
      </c>
      <c r="E177">
        <v>2</v>
      </c>
      <c r="F177">
        <v>32.9</v>
      </c>
      <c r="G177">
        <v>3.11</v>
      </c>
      <c r="I177">
        <f t="shared" si="10"/>
        <v>1</v>
      </c>
      <c r="J177">
        <f t="shared" si="11"/>
        <v>1</v>
      </c>
      <c r="K177">
        <f t="shared" si="12"/>
        <v>4</v>
      </c>
      <c r="L177">
        <f t="shared" si="13"/>
        <v>1</v>
      </c>
      <c r="M177">
        <v>2</v>
      </c>
      <c r="N177">
        <v>32.9</v>
      </c>
      <c r="O177" s="23">
        <v>3.11</v>
      </c>
      <c r="U177" s="2">
        <v>0.67508094538181496</v>
      </c>
      <c r="V177">
        <f>N177*Regression!$B$23</f>
        <v>3.1012697621848706</v>
      </c>
      <c r="W177">
        <f>M177*Regression!$B$22</f>
        <v>0.34992874109401623</v>
      </c>
      <c r="X177">
        <f>I177*Regression!$B$18</f>
        <v>-3.6632514766371221E-2</v>
      </c>
      <c r="Y177">
        <f>J177*Regression!$B$19</f>
        <v>-7.2844330789933256E-2</v>
      </c>
      <c r="Z177">
        <f>K177*Regression!$B$20</f>
        <v>0.21202121993174294</v>
      </c>
      <c r="AA177">
        <f>L177*Regression!$B$21</f>
        <v>-0.11600626172099011</v>
      </c>
      <c r="AB177" s="25">
        <f t="shared" si="14"/>
        <v>4.1128175613151505</v>
      </c>
    </row>
    <row r="178" spans="1:28" ht="15.5" x14ac:dyDescent="0.35">
      <c r="A178" t="s">
        <v>11</v>
      </c>
      <c r="B178" t="s">
        <v>13</v>
      </c>
      <c r="C178" t="s">
        <v>9</v>
      </c>
      <c r="D178" t="s">
        <v>10</v>
      </c>
      <c r="E178">
        <v>2</v>
      </c>
      <c r="F178">
        <v>17.89</v>
      </c>
      <c r="G178">
        <v>2</v>
      </c>
      <c r="I178">
        <f t="shared" si="10"/>
        <v>1</v>
      </c>
      <c r="J178">
        <f t="shared" si="11"/>
        <v>1</v>
      </c>
      <c r="K178">
        <f t="shared" si="12"/>
        <v>4</v>
      </c>
      <c r="L178">
        <f t="shared" si="13"/>
        <v>1</v>
      </c>
      <c r="M178">
        <v>2</v>
      </c>
      <c r="N178">
        <v>17.89</v>
      </c>
      <c r="O178" s="23">
        <v>2</v>
      </c>
      <c r="U178" s="2">
        <v>0.67508094538181496</v>
      </c>
      <c r="V178">
        <f>N178*Regression!$B$23</f>
        <v>1.6863743478871531</v>
      </c>
      <c r="W178">
        <f>M178*Regression!$B$22</f>
        <v>0.34992874109401623</v>
      </c>
      <c r="X178">
        <f>I178*Regression!$B$18</f>
        <v>-3.6632514766371221E-2</v>
      </c>
      <c r="Y178">
        <f>J178*Regression!$B$19</f>
        <v>-7.2844330789933256E-2</v>
      </c>
      <c r="Z178">
        <f>K178*Regression!$B$20</f>
        <v>0.21202121993174294</v>
      </c>
      <c r="AA178">
        <f>L178*Regression!$B$21</f>
        <v>-0.11600626172099011</v>
      </c>
      <c r="AB178" s="25">
        <f t="shared" si="14"/>
        <v>2.6979221470174326</v>
      </c>
    </row>
    <row r="179" spans="1:28" ht="15.5" x14ac:dyDescent="0.35">
      <c r="A179" t="s">
        <v>11</v>
      </c>
      <c r="B179" t="s">
        <v>13</v>
      </c>
      <c r="C179" t="s">
        <v>9</v>
      </c>
      <c r="D179" t="s">
        <v>10</v>
      </c>
      <c r="E179">
        <v>2</v>
      </c>
      <c r="F179">
        <v>14.48</v>
      </c>
      <c r="G179">
        <v>2</v>
      </c>
      <c r="I179">
        <f t="shared" si="10"/>
        <v>1</v>
      </c>
      <c r="J179">
        <f t="shared" si="11"/>
        <v>1</v>
      </c>
      <c r="K179">
        <f t="shared" si="12"/>
        <v>4</v>
      </c>
      <c r="L179">
        <f t="shared" si="13"/>
        <v>1</v>
      </c>
      <c r="M179">
        <v>2</v>
      </c>
      <c r="N179">
        <v>14.48</v>
      </c>
      <c r="O179" s="23">
        <v>2</v>
      </c>
      <c r="U179" s="2">
        <v>0.67508094538181496</v>
      </c>
      <c r="V179">
        <f>N179*Regression!$B$23</f>
        <v>1.364935749435773</v>
      </c>
      <c r="W179">
        <f>M179*Regression!$B$22</f>
        <v>0.34992874109401623</v>
      </c>
      <c r="X179">
        <f>I179*Regression!$B$18</f>
        <v>-3.6632514766371221E-2</v>
      </c>
      <c r="Y179">
        <f>J179*Regression!$B$19</f>
        <v>-7.2844330789933256E-2</v>
      </c>
      <c r="Z179">
        <f>K179*Regression!$B$20</f>
        <v>0.21202121993174294</v>
      </c>
      <c r="AA179">
        <f>L179*Regression!$B$21</f>
        <v>-0.11600626172099011</v>
      </c>
      <c r="AB179" s="25">
        <f t="shared" si="14"/>
        <v>2.3764835485660525</v>
      </c>
    </row>
    <row r="180" spans="1:28" ht="15.5" x14ac:dyDescent="0.35">
      <c r="A180" t="s">
        <v>7</v>
      </c>
      <c r="B180" t="s">
        <v>13</v>
      </c>
      <c r="C180" t="s">
        <v>9</v>
      </c>
      <c r="D180" t="s">
        <v>10</v>
      </c>
      <c r="E180">
        <v>2</v>
      </c>
      <c r="F180">
        <v>9.6</v>
      </c>
      <c r="G180">
        <v>4</v>
      </c>
      <c r="I180">
        <f t="shared" si="10"/>
        <v>0</v>
      </c>
      <c r="J180">
        <f t="shared" si="11"/>
        <v>1</v>
      </c>
      <c r="K180">
        <f t="shared" si="12"/>
        <v>4</v>
      </c>
      <c r="L180">
        <f t="shared" si="13"/>
        <v>1</v>
      </c>
      <c r="M180">
        <v>2</v>
      </c>
      <c r="N180">
        <v>9.6</v>
      </c>
      <c r="O180" s="23">
        <v>4</v>
      </c>
      <c r="U180" s="2">
        <v>0.67508094538181496</v>
      </c>
      <c r="V180">
        <f>N180*Regression!$B$23</f>
        <v>0.90492977863145163</v>
      </c>
      <c r="W180">
        <f>M180*Regression!$B$22</f>
        <v>0.34992874109401623</v>
      </c>
      <c r="X180">
        <f>I180*Regression!$B$18</f>
        <v>0</v>
      </c>
      <c r="Y180">
        <f>J180*Regression!$B$19</f>
        <v>-7.2844330789933256E-2</v>
      </c>
      <c r="Z180">
        <f>K180*Regression!$B$20</f>
        <v>0.21202121993174294</v>
      </c>
      <c r="AA180">
        <f>L180*Regression!$B$21</f>
        <v>-0.11600626172099011</v>
      </c>
      <c r="AB180" s="25">
        <f t="shared" si="14"/>
        <v>1.9531100925281024</v>
      </c>
    </row>
    <row r="181" spans="1:28" ht="15.5" x14ac:dyDescent="0.35">
      <c r="A181" t="s">
        <v>11</v>
      </c>
      <c r="B181" t="s">
        <v>13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  <c r="I181">
        <f t="shared" si="10"/>
        <v>1</v>
      </c>
      <c r="J181">
        <f t="shared" si="11"/>
        <v>1</v>
      </c>
      <c r="K181">
        <f t="shared" si="12"/>
        <v>4</v>
      </c>
      <c r="L181">
        <f t="shared" si="13"/>
        <v>1</v>
      </c>
      <c r="M181">
        <v>2</v>
      </c>
      <c r="N181">
        <v>34.630000000000003</v>
      </c>
      <c r="O181" s="23">
        <v>3.55</v>
      </c>
      <c r="U181" s="2">
        <v>0.67508094538181496</v>
      </c>
      <c r="V181">
        <f>N181*Regression!$B$23</f>
        <v>3.264345649375747</v>
      </c>
      <c r="W181">
        <f>M181*Regression!$B$22</f>
        <v>0.34992874109401623</v>
      </c>
      <c r="X181">
        <f>I181*Regression!$B$18</f>
        <v>-3.6632514766371221E-2</v>
      </c>
      <c r="Y181">
        <f>J181*Regression!$B$19</f>
        <v>-7.2844330789933256E-2</v>
      </c>
      <c r="Z181">
        <f>K181*Regression!$B$20</f>
        <v>0.21202121993174294</v>
      </c>
      <c r="AA181">
        <f>L181*Regression!$B$21</f>
        <v>-0.11600626172099011</v>
      </c>
      <c r="AB181" s="25">
        <f t="shared" si="14"/>
        <v>4.2758934485060269</v>
      </c>
    </row>
    <row r="182" spans="1:28" ht="15.5" x14ac:dyDescent="0.35">
      <c r="A182" t="s">
        <v>11</v>
      </c>
      <c r="B182" t="s">
        <v>13</v>
      </c>
      <c r="C182" t="s">
        <v>9</v>
      </c>
      <c r="D182" t="s">
        <v>10</v>
      </c>
      <c r="E182">
        <v>4</v>
      </c>
      <c r="F182">
        <v>34.65</v>
      </c>
      <c r="G182">
        <v>3.68</v>
      </c>
      <c r="I182">
        <f t="shared" si="10"/>
        <v>1</v>
      </c>
      <c r="J182">
        <f t="shared" si="11"/>
        <v>1</v>
      </c>
      <c r="K182">
        <f t="shared" si="12"/>
        <v>4</v>
      </c>
      <c r="L182">
        <f t="shared" si="13"/>
        <v>1</v>
      </c>
      <c r="M182">
        <v>4</v>
      </c>
      <c r="N182">
        <v>34.65</v>
      </c>
      <c r="O182" s="23">
        <v>3.68</v>
      </c>
      <c r="U182" s="2">
        <v>0.67508094538181496</v>
      </c>
      <c r="V182">
        <f>N182*Regression!$B$23</f>
        <v>3.2662309197478958</v>
      </c>
      <c r="W182">
        <f>M182*Regression!$B$22</f>
        <v>0.69985748218803245</v>
      </c>
      <c r="X182">
        <f>I182*Regression!$B$18</f>
        <v>-3.6632514766371221E-2</v>
      </c>
      <c r="Y182">
        <f>J182*Regression!$B$19</f>
        <v>-7.2844330789933256E-2</v>
      </c>
      <c r="Z182">
        <f>K182*Regression!$B$20</f>
        <v>0.21202121993174294</v>
      </c>
      <c r="AA182">
        <f>L182*Regression!$B$21</f>
        <v>-0.11600626172099011</v>
      </c>
      <c r="AB182" s="25">
        <f t="shared" si="14"/>
        <v>4.6277074599721919</v>
      </c>
    </row>
    <row r="183" spans="1:28" ht="15.5" x14ac:dyDescent="0.35">
      <c r="A183" t="s">
        <v>11</v>
      </c>
      <c r="B183" t="s">
        <v>13</v>
      </c>
      <c r="C183" t="s">
        <v>9</v>
      </c>
      <c r="D183" t="s">
        <v>10</v>
      </c>
      <c r="E183">
        <v>2</v>
      </c>
      <c r="F183">
        <v>23.33</v>
      </c>
      <c r="G183">
        <v>5.65</v>
      </c>
      <c r="I183">
        <f t="shared" si="10"/>
        <v>1</v>
      </c>
      <c r="J183">
        <f t="shared" si="11"/>
        <v>1</v>
      </c>
      <c r="K183">
        <f t="shared" si="12"/>
        <v>4</v>
      </c>
      <c r="L183">
        <f t="shared" si="13"/>
        <v>1</v>
      </c>
      <c r="M183">
        <v>2</v>
      </c>
      <c r="N183">
        <v>23.33</v>
      </c>
      <c r="O183" s="23">
        <v>5.65</v>
      </c>
      <c r="U183" s="2">
        <v>0.67508094538181496</v>
      </c>
      <c r="V183">
        <f>N183*Regression!$B$23</f>
        <v>2.1991678891116422</v>
      </c>
      <c r="W183">
        <f>M183*Regression!$B$22</f>
        <v>0.34992874109401623</v>
      </c>
      <c r="X183">
        <f>I183*Regression!$B$18</f>
        <v>-3.6632514766371221E-2</v>
      </c>
      <c r="Y183">
        <f>J183*Regression!$B$19</f>
        <v>-7.2844330789933256E-2</v>
      </c>
      <c r="Z183">
        <f>K183*Regression!$B$20</f>
        <v>0.21202121993174294</v>
      </c>
      <c r="AA183">
        <f>L183*Regression!$B$21</f>
        <v>-0.11600626172099011</v>
      </c>
      <c r="AB183" s="25">
        <f t="shared" si="14"/>
        <v>3.2107156882419217</v>
      </c>
    </row>
    <row r="184" spans="1:28" ht="15.5" x14ac:dyDescent="0.35">
      <c r="A184" t="s">
        <v>11</v>
      </c>
      <c r="B184" t="s">
        <v>13</v>
      </c>
      <c r="C184" t="s">
        <v>9</v>
      </c>
      <c r="D184" t="s">
        <v>10</v>
      </c>
      <c r="E184">
        <v>3</v>
      </c>
      <c r="F184">
        <v>45.35</v>
      </c>
      <c r="G184">
        <v>3.5</v>
      </c>
      <c r="I184">
        <f t="shared" si="10"/>
        <v>1</v>
      </c>
      <c r="J184">
        <f t="shared" si="11"/>
        <v>1</v>
      </c>
      <c r="K184">
        <f t="shared" si="12"/>
        <v>4</v>
      </c>
      <c r="L184">
        <f t="shared" si="13"/>
        <v>1</v>
      </c>
      <c r="M184">
        <v>3</v>
      </c>
      <c r="N184">
        <v>45.35</v>
      </c>
      <c r="O184" s="23">
        <v>3.5</v>
      </c>
      <c r="U184" s="2">
        <v>0.67508094538181496</v>
      </c>
      <c r="V184">
        <f>N184*Regression!$B$23</f>
        <v>4.2748505688475342</v>
      </c>
      <c r="W184">
        <f>M184*Regression!$B$22</f>
        <v>0.52489311164102437</v>
      </c>
      <c r="X184">
        <f>I184*Regression!$B$18</f>
        <v>-3.6632514766371221E-2</v>
      </c>
      <c r="Y184">
        <f>J184*Regression!$B$19</f>
        <v>-7.2844330789933256E-2</v>
      </c>
      <c r="Z184">
        <f>K184*Regression!$B$20</f>
        <v>0.21202121993174294</v>
      </c>
      <c r="AA184">
        <f>L184*Regression!$B$21</f>
        <v>-0.11600626172099011</v>
      </c>
      <c r="AB184" s="25">
        <f t="shared" si="14"/>
        <v>5.461362738524822</v>
      </c>
    </row>
    <row r="185" spans="1:28" ht="15.5" x14ac:dyDescent="0.35">
      <c r="A185" t="s">
        <v>11</v>
      </c>
      <c r="B185" t="s">
        <v>13</v>
      </c>
      <c r="C185" t="s">
        <v>9</v>
      </c>
      <c r="D185" t="s">
        <v>10</v>
      </c>
      <c r="E185">
        <v>4</v>
      </c>
      <c r="F185">
        <v>23.17</v>
      </c>
      <c r="G185">
        <v>6.5</v>
      </c>
      <c r="I185">
        <f t="shared" si="10"/>
        <v>1</v>
      </c>
      <c r="J185">
        <f t="shared" si="11"/>
        <v>1</v>
      </c>
      <c r="K185">
        <f t="shared" si="12"/>
        <v>4</v>
      </c>
      <c r="L185">
        <f t="shared" si="13"/>
        <v>1</v>
      </c>
      <c r="M185">
        <v>4</v>
      </c>
      <c r="N185">
        <v>23.17</v>
      </c>
      <c r="O185" s="23">
        <v>6.5</v>
      </c>
      <c r="U185" s="2">
        <v>0.67508094538181496</v>
      </c>
      <c r="V185">
        <f>N185*Regression!$B$23</f>
        <v>2.1840857261344517</v>
      </c>
      <c r="W185">
        <f>M185*Regression!$B$22</f>
        <v>0.69985748218803245</v>
      </c>
      <c r="X185">
        <f>I185*Regression!$B$18</f>
        <v>-3.6632514766371221E-2</v>
      </c>
      <c r="Y185">
        <f>J185*Regression!$B$19</f>
        <v>-7.2844330789933256E-2</v>
      </c>
      <c r="Z185">
        <f>K185*Regression!$B$20</f>
        <v>0.21202121993174294</v>
      </c>
      <c r="AA185">
        <f>L185*Regression!$B$21</f>
        <v>-0.11600626172099011</v>
      </c>
      <c r="AB185" s="25">
        <f t="shared" si="14"/>
        <v>3.5455622663587474</v>
      </c>
    </row>
    <row r="186" spans="1:28" ht="15.5" x14ac:dyDescent="0.35">
      <c r="A186" t="s">
        <v>11</v>
      </c>
      <c r="B186" t="s">
        <v>13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  <c r="I186">
        <f t="shared" si="10"/>
        <v>1</v>
      </c>
      <c r="J186">
        <f t="shared" si="11"/>
        <v>1</v>
      </c>
      <c r="K186">
        <f t="shared" si="12"/>
        <v>4</v>
      </c>
      <c r="L186">
        <f t="shared" si="13"/>
        <v>1</v>
      </c>
      <c r="M186">
        <v>2</v>
      </c>
      <c r="N186">
        <v>40.549999999999997</v>
      </c>
      <c r="O186" s="23">
        <v>3</v>
      </c>
      <c r="U186" s="2">
        <v>0.67508094538181496</v>
      </c>
      <c r="V186">
        <f>N186*Regression!$B$23</f>
        <v>3.8223856795318083</v>
      </c>
      <c r="W186">
        <f>M186*Regression!$B$22</f>
        <v>0.34992874109401623</v>
      </c>
      <c r="X186">
        <f>I186*Regression!$B$18</f>
        <v>-3.6632514766371221E-2</v>
      </c>
      <c r="Y186">
        <f>J186*Regression!$B$19</f>
        <v>-7.2844330789933256E-2</v>
      </c>
      <c r="Z186">
        <f>K186*Regression!$B$20</f>
        <v>0.21202121993174294</v>
      </c>
      <c r="AA186">
        <f>L186*Regression!$B$21</f>
        <v>-0.11600626172099011</v>
      </c>
      <c r="AB186" s="25">
        <f t="shared" si="14"/>
        <v>4.8339334786620887</v>
      </c>
    </row>
    <row r="187" spans="1:28" ht="15.5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  <c r="I187">
        <f t="shared" si="10"/>
        <v>1</v>
      </c>
      <c r="J187">
        <f t="shared" si="11"/>
        <v>0</v>
      </c>
      <c r="K187">
        <f t="shared" si="12"/>
        <v>4</v>
      </c>
      <c r="L187">
        <f t="shared" si="13"/>
        <v>1</v>
      </c>
      <c r="M187">
        <v>5</v>
      </c>
      <c r="N187">
        <v>20.69</v>
      </c>
      <c r="O187" s="23">
        <v>5</v>
      </c>
      <c r="U187" s="2">
        <v>0.67508094538181496</v>
      </c>
      <c r="V187">
        <f>N187*Regression!$B$23</f>
        <v>1.9503121999879933</v>
      </c>
      <c r="W187">
        <f>M187*Regression!$B$22</f>
        <v>0.87482185273504054</v>
      </c>
      <c r="X187">
        <f>I187*Regression!$B$18</f>
        <v>-3.6632514766371221E-2</v>
      </c>
      <c r="Y187">
        <f>J187*Regression!$B$19</f>
        <v>0</v>
      </c>
      <c r="Z187">
        <f>K187*Regression!$B$20</f>
        <v>0.21202121993174294</v>
      </c>
      <c r="AA187">
        <f>L187*Regression!$B$21</f>
        <v>-0.11600626172099011</v>
      </c>
      <c r="AB187" s="25">
        <f t="shared" si="14"/>
        <v>3.5595974415492306</v>
      </c>
    </row>
    <row r="188" spans="1:28" ht="15.5" x14ac:dyDescent="0.35">
      <c r="A188" t="s">
        <v>7</v>
      </c>
      <c r="B188" t="s">
        <v>13</v>
      </c>
      <c r="C188" t="s">
        <v>9</v>
      </c>
      <c r="D188" t="s">
        <v>10</v>
      </c>
      <c r="E188">
        <v>3</v>
      </c>
      <c r="F188">
        <v>20.9</v>
      </c>
      <c r="G188">
        <v>3.5</v>
      </c>
      <c r="I188">
        <f t="shared" si="10"/>
        <v>0</v>
      </c>
      <c r="J188">
        <f t="shared" si="11"/>
        <v>1</v>
      </c>
      <c r="K188">
        <f t="shared" si="12"/>
        <v>4</v>
      </c>
      <c r="L188">
        <f t="shared" si="13"/>
        <v>1</v>
      </c>
      <c r="M188">
        <v>3</v>
      </c>
      <c r="N188">
        <v>20.9</v>
      </c>
      <c r="O188" s="23">
        <v>3.5</v>
      </c>
      <c r="U188" s="2">
        <v>0.67508094538181496</v>
      </c>
      <c r="V188">
        <f>N188*Regression!$B$23</f>
        <v>1.970107538895556</v>
      </c>
      <c r="W188">
        <f>M188*Regression!$B$22</f>
        <v>0.52489311164102437</v>
      </c>
      <c r="X188">
        <f>I188*Regression!$B$18</f>
        <v>0</v>
      </c>
      <c r="Y188">
        <f>J188*Regression!$B$19</f>
        <v>-7.2844330789933256E-2</v>
      </c>
      <c r="Z188">
        <f>K188*Regression!$B$20</f>
        <v>0.21202121993174294</v>
      </c>
      <c r="AA188">
        <f>L188*Regression!$B$21</f>
        <v>-0.11600626172099011</v>
      </c>
      <c r="AB188" s="25">
        <f t="shared" si="14"/>
        <v>3.1932522233392153</v>
      </c>
    </row>
    <row r="189" spans="1:28" ht="15.5" x14ac:dyDescent="0.35">
      <c r="A189" t="s">
        <v>11</v>
      </c>
      <c r="B189" t="s">
        <v>13</v>
      </c>
      <c r="C189" t="s">
        <v>9</v>
      </c>
      <c r="D189" t="s">
        <v>10</v>
      </c>
      <c r="E189">
        <v>5</v>
      </c>
      <c r="F189">
        <v>30.46</v>
      </c>
      <c r="G189">
        <v>2</v>
      </c>
      <c r="I189">
        <f t="shared" si="10"/>
        <v>1</v>
      </c>
      <c r="J189">
        <f t="shared" si="11"/>
        <v>1</v>
      </c>
      <c r="K189">
        <f t="shared" si="12"/>
        <v>4</v>
      </c>
      <c r="L189">
        <f t="shared" si="13"/>
        <v>1</v>
      </c>
      <c r="M189">
        <v>5</v>
      </c>
      <c r="N189">
        <v>30.46</v>
      </c>
      <c r="O189" s="23">
        <v>2</v>
      </c>
      <c r="U189" s="2">
        <v>0.67508094538181496</v>
      </c>
      <c r="V189">
        <f>N189*Regression!$B$23</f>
        <v>2.87126677678271</v>
      </c>
      <c r="W189">
        <f>M189*Regression!$B$22</f>
        <v>0.87482185273504054</v>
      </c>
      <c r="X189">
        <f>I189*Regression!$B$18</f>
        <v>-3.6632514766371221E-2</v>
      </c>
      <c r="Y189">
        <f>J189*Regression!$B$19</f>
        <v>-7.2844330789933256E-2</v>
      </c>
      <c r="Z189">
        <f>K189*Regression!$B$20</f>
        <v>0.21202121993174294</v>
      </c>
      <c r="AA189">
        <f>L189*Regression!$B$21</f>
        <v>-0.11600626172099011</v>
      </c>
      <c r="AB189" s="25">
        <f t="shared" si="14"/>
        <v>4.407707687554014</v>
      </c>
    </row>
    <row r="190" spans="1:28" ht="15.5" x14ac:dyDescent="0.35">
      <c r="A190" t="s">
        <v>7</v>
      </c>
      <c r="B190" t="s">
        <v>13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  <c r="I190">
        <f t="shared" si="10"/>
        <v>0</v>
      </c>
      <c r="J190">
        <f t="shared" si="11"/>
        <v>1</v>
      </c>
      <c r="K190">
        <f t="shared" si="12"/>
        <v>4</v>
      </c>
      <c r="L190">
        <f t="shared" si="13"/>
        <v>1</v>
      </c>
      <c r="M190">
        <v>3</v>
      </c>
      <c r="N190">
        <v>18.149999999999999</v>
      </c>
      <c r="O190" s="23">
        <v>3.5</v>
      </c>
      <c r="U190" s="2">
        <v>0.67508094538181496</v>
      </c>
      <c r="V190">
        <f>N190*Regression!$B$23</f>
        <v>1.710882862725088</v>
      </c>
      <c r="W190">
        <f>M190*Regression!$B$22</f>
        <v>0.52489311164102437</v>
      </c>
      <c r="X190">
        <f>I190*Regression!$B$18</f>
        <v>0</v>
      </c>
      <c r="Y190">
        <f>J190*Regression!$B$19</f>
        <v>-7.2844330789933256E-2</v>
      </c>
      <c r="Z190">
        <f>K190*Regression!$B$20</f>
        <v>0.21202121993174294</v>
      </c>
      <c r="AA190">
        <f>L190*Regression!$B$21</f>
        <v>-0.11600626172099011</v>
      </c>
      <c r="AB190" s="25">
        <f t="shared" si="14"/>
        <v>2.9340275471687471</v>
      </c>
    </row>
    <row r="191" spans="1:28" ht="15.5" x14ac:dyDescent="0.35">
      <c r="A191" t="s">
        <v>11</v>
      </c>
      <c r="B191" t="s">
        <v>13</v>
      </c>
      <c r="C191" t="s">
        <v>9</v>
      </c>
      <c r="D191" t="s">
        <v>10</v>
      </c>
      <c r="E191">
        <v>3</v>
      </c>
      <c r="F191">
        <v>23.1</v>
      </c>
      <c r="G191">
        <v>4</v>
      </c>
      <c r="I191">
        <f t="shared" si="10"/>
        <v>1</v>
      </c>
      <c r="J191">
        <f t="shared" si="11"/>
        <v>1</v>
      </c>
      <c r="K191">
        <f t="shared" si="12"/>
        <v>4</v>
      </c>
      <c r="L191">
        <f t="shared" si="13"/>
        <v>1</v>
      </c>
      <c r="M191">
        <v>3</v>
      </c>
      <c r="N191">
        <v>23.1</v>
      </c>
      <c r="O191" s="23">
        <v>4</v>
      </c>
      <c r="U191" s="2">
        <v>0.67508094538181496</v>
      </c>
      <c r="V191">
        <f>N191*Regression!$B$23</f>
        <v>2.1774872798319307</v>
      </c>
      <c r="W191">
        <f>M191*Regression!$B$22</f>
        <v>0.52489311164102437</v>
      </c>
      <c r="X191">
        <f>I191*Regression!$B$18</f>
        <v>-3.6632514766371221E-2</v>
      </c>
      <c r="Y191">
        <f>J191*Regression!$B$19</f>
        <v>-7.2844330789933256E-2</v>
      </c>
      <c r="Z191">
        <f>K191*Regression!$B$20</f>
        <v>0.21202121993174294</v>
      </c>
      <c r="AA191">
        <f>L191*Regression!$B$21</f>
        <v>-0.11600626172099011</v>
      </c>
      <c r="AB191" s="25">
        <f t="shared" si="14"/>
        <v>3.3639994495092185</v>
      </c>
    </row>
    <row r="192" spans="1:28" ht="15.5" x14ac:dyDescent="0.35">
      <c r="A192" t="s">
        <v>11</v>
      </c>
      <c r="B192" t="s">
        <v>13</v>
      </c>
      <c r="C192" t="s">
        <v>9</v>
      </c>
      <c r="D192" t="s">
        <v>10</v>
      </c>
      <c r="E192">
        <v>2</v>
      </c>
      <c r="F192">
        <v>15.69</v>
      </c>
      <c r="G192">
        <v>1.5</v>
      </c>
      <c r="I192">
        <f t="shared" si="10"/>
        <v>1</v>
      </c>
      <c r="J192">
        <f t="shared" si="11"/>
        <v>1</v>
      </c>
      <c r="K192">
        <f t="shared" si="12"/>
        <v>4</v>
      </c>
      <c r="L192">
        <f t="shared" si="13"/>
        <v>1</v>
      </c>
      <c r="M192">
        <v>2</v>
      </c>
      <c r="N192">
        <v>15.69</v>
      </c>
      <c r="O192" s="23">
        <v>1.5</v>
      </c>
      <c r="U192" s="2">
        <v>0.67508094538181496</v>
      </c>
      <c r="V192">
        <f>N192*Regression!$B$23</f>
        <v>1.4789946069507787</v>
      </c>
      <c r="W192">
        <f>M192*Regression!$B$22</f>
        <v>0.34992874109401623</v>
      </c>
      <c r="X192">
        <f>I192*Regression!$B$18</f>
        <v>-3.6632514766371221E-2</v>
      </c>
      <c r="Y192">
        <f>J192*Regression!$B$19</f>
        <v>-7.2844330789933256E-2</v>
      </c>
      <c r="Z192">
        <f>K192*Regression!$B$20</f>
        <v>0.21202121993174294</v>
      </c>
      <c r="AA192">
        <f>L192*Regression!$B$21</f>
        <v>-0.11600626172099011</v>
      </c>
      <c r="AB192" s="25">
        <f t="shared" si="14"/>
        <v>2.4905424060810581</v>
      </c>
    </row>
    <row r="193" spans="1:28" ht="15.5" x14ac:dyDescent="0.35">
      <c r="A193" t="s">
        <v>7</v>
      </c>
      <c r="B193" t="s">
        <v>13</v>
      </c>
      <c r="C193" t="s">
        <v>14</v>
      </c>
      <c r="D193" t="s">
        <v>15</v>
      </c>
      <c r="E193">
        <v>2</v>
      </c>
      <c r="F193">
        <v>19.809999999999999</v>
      </c>
      <c r="G193">
        <v>4.1900000000000004</v>
      </c>
      <c r="I193">
        <f t="shared" si="10"/>
        <v>0</v>
      </c>
      <c r="J193">
        <f t="shared" si="11"/>
        <v>1</v>
      </c>
      <c r="K193">
        <f t="shared" si="12"/>
        <v>1</v>
      </c>
      <c r="L193">
        <f t="shared" si="13"/>
        <v>0</v>
      </c>
      <c r="M193">
        <v>2</v>
      </c>
      <c r="N193">
        <v>19.809999999999999</v>
      </c>
      <c r="O193" s="23">
        <v>4.1900000000000004</v>
      </c>
      <c r="U193" s="2">
        <v>0.67508094538181496</v>
      </c>
      <c r="V193">
        <f>N193*Regression!$B$23</f>
        <v>1.8673603036134434</v>
      </c>
      <c r="W193">
        <f>M193*Regression!$B$22</f>
        <v>0.34992874109401623</v>
      </c>
      <c r="X193">
        <f>I193*Regression!$B$18</f>
        <v>0</v>
      </c>
      <c r="Y193">
        <f>J193*Regression!$B$19</f>
        <v>-7.2844330789933256E-2</v>
      </c>
      <c r="Z193">
        <f>K193*Regression!$B$20</f>
        <v>5.3005304982935736E-2</v>
      </c>
      <c r="AA193">
        <f>L193*Regression!$B$21</f>
        <v>0</v>
      </c>
      <c r="AB193" s="25">
        <f t="shared" si="14"/>
        <v>2.8725309642822769</v>
      </c>
    </row>
    <row r="194" spans="1:28" ht="15.5" x14ac:dyDescent="0.35">
      <c r="A194" t="s">
        <v>11</v>
      </c>
      <c r="B194" t="s">
        <v>13</v>
      </c>
      <c r="C194" t="s">
        <v>14</v>
      </c>
      <c r="D194" t="s">
        <v>15</v>
      </c>
      <c r="E194">
        <v>2</v>
      </c>
      <c r="F194">
        <v>28.44</v>
      </c>
      <c r="G194">
        <v>2.56</v>
      </c>
      <c r="I194">
        <f t="shared" si="10"/>
        <v>1</v>
      </c>
      <c r="J194">
        <f t="shared" si="11"/>
        <v>1</v>
      </c>
      <c r="K194">
        <f t="shared" si="12"/>
        <v>1</v>
      </c>
      <c r="L194">
        <f t="shared" si="13"/>
        <v>0</v>
      </c>
      <c r="M194">
        <v>2</v>
      </c>
      <c r="N194">
        <v>28.44</v>
      </c>
      <c r="O194" s="23">
        <v>2.56</v>
      </c>
      <c r="U194" s="2">
        <v>0.67508094538181496</v>
      </c>
      <c r="V194">
        <f>N194*Regression!$B$23</f>
        <v>2.6808544691956757</v>
      </c>
      <c r="W194">
        <f>M194*Regression!$B$22</f>
        <v>0.34992874109401623</v>
      </c>
      <c r="X194">
        <f>I194*Regression!$B$18</f>
        <v>-3.6632514766371221E-2</v>
      </c>
      <c r="Y194">
        <f>J194*Regression!$B$19</f>
        <v>-7.2844330789933256E-2</v>
      </c>
      <c r="Z194">
        <f>K194*Regression!$B$20</f>
        <v>5.3005304982935736E-2</v>
      </c>
      <c r="AA194">
        <f>L194*Regression!$B$21</f>
        <v>0</v>
      </c>
      <c r="AB194" s="25">
        <f t="shared" si="14"/>
        <v>3.6493926150981379</v>
      </c>
    </row>
    <row r="195" spans="1:28" ht="15.5" x14ac:dyDescent="0.35">
      <c r="A195" t="s">
        <v>11</v>
      </c>
      <c r="B195" t="s">
        <v>13</v>
      </c>
      <c r="C195" t="s">
        <v>14</v>
      </c>
      <c r="D195" t="s">
        <v>15</v>
      </c>
      <c r="E195">
        <v>2</v>
      </c>
      <c r="F195">
        <v>15.48</v>
      </c>
      <c r="G195">
        <v>2.02</v>
      </c>
      <c r="I195">
        <f t="shared" ref="I195:I244" si="15">IF(A195="Female",0,1)</f>
        <v>1</v>
      </c>
      <c r="J195">
        <f t="shared" ref="J195:J244" si="16">IF(B195="No",0,1)</f>
        <v>1</v>
      </c>
      <c r="K195">
        <f t="shared" ref="K195:K244" si="17">IF(C195="Sun",4,IF(C195="Sat",3,IF(C195="Fri",2,1)))</f>
        <v>1</v>
      </c>
      <c r="L195">
        <f t="shared" ref="L195:L244" si="18">IF(D195="Lunch",0,1)</f>
        <v>0</v>
      </c>
      <c r="M195">
        <v>2</v>
      </c>
      <c r="N195">
        <v>15.48</v>
      </c>
      <c r="O195" s="23">
        <v>2.02</v>
      </c>
      <c r="U195" s="2">
        <v>0.67508094538181496</v>
      </c>
      <c r="V195">
        <f>N195*Regression!$B$23</f>
        <v>1.4591992680432158</v>
      </c>
      <c r="W195">
        <f>M195*Regression!$B$22</f>
        <v>0.34992874109401623</v>
      </c>
      <c r="X195">
        <f>I195*Regression!$B$18</f>
        <v>-3.6632514766371221E-2</v>
      </c>
      <c r="Y195">
        <f>J195*Regression!$B$19</f>
        <v>-7.2844330789933256E-2</v>
      </c>
      <c r="Z195">
        <f>K195*Regression!$B$20</f>
        <v>5.3005304982935736E-2</v>
      </c>
      <c r="AA195">
        <f>L195*Regression!$B$21</f>
        <v>0</v>
      </c>
      <c r="AB195" s="25">
        <f t="shared" ref="AB195:AB243" si="19">SUM(U195:AA195)</f>
        <v>2.4277374139456782</v>
      </c>
    </row>
    <row r="196" spans="1:28" ht="15.5" x14ac:dyDescent="0.35">
      <c r="A196" t="s">
        <v>11</v>
      </c>
      <c r="B196" t="s">
        <v>13</v>
      </c>
      <c r="C196" t="s">
        <v>14</v>
      </c>
      <c r="D196" t="s">
        <v>15</v>
      </c>
      <c r="E196">
        <v>2</v>
      </c>
      <c r="F196">
        <v>16.579999999999998</v>
      </c>
      <c r="G196">
        <v>4</v>
      </c>
      <c r="I196">
        <f t="shared" si="15"/>
        <v>1</v>
      </c>
      <c r="J196">
        <f t="shared" si="16"/>
        <v>1</v>
      </c>
      <c r="K196">
        <f t="shared" si="17"/>
        <v>1</v>
      </c>
      <c r="L196">
        <f t="shared" si="18"/>
        <v>0</v>
      </c>
      <c r="M196">
        <v>2</v>
      </c>
      <c r="N196">
        <v>16.579999999999998</v>
      </c>
      <c r="O196" s="23">
        <v>4</v>
      </c>
      <c r="U196" s="2">
        <v>0.67508094538181496</v>
      </c>
      <c r="V196">
        <f>N196*Regression!$B$23</f>
        <v>1.5628891385114028</v>
      </c>
      <c r="W196">
        <f>M196*Regression!$B$22</f>
        <v>0.34992874109401623</v>
      </c>
      <c r="X196">
        <f>I196*Regression!$B$18</f>
        <v>-3.6632514766371221E-2</v>
      </c>
      <c r="Y196">
        <f>J196*Regression!$B$19</f>
        <v>-7.2844330789933256E-2</v>
      </c>
      <c r="Z196">
        <f>K196*Regression!$B$20</f>
        <v>5.3005304982935736E-2</v>
      </c>
      <c r="AA196">
        <f>L196*Regression!$B$21</f>
        <v>0</v>
      </c>
      <c r="AB196" s="25">
        <f t="shared" si="19"/>
        <v>2.5314272844138648</v>
      </c>
    </row>
    <row r="197" spans="1:28" ht="15.5" x14ac:dyDescent="0.35">
      <c r="A197" t="s">
        <v>11</v>
      </c>
      <c r="B197" t="s">
        <v>8</v>
      </c>
      <c r="C197" t="s">
        <v>14</v>
      </c>
      <c r="D197" t="s">
        <v>15</v>
      </c>
      <c r="E197">
        <v>2</v>
      </c>
      <c r="F197">
        <v>7.56</v>
      </c>
      <c r="G197">
        <v>1.44</v>
      </c>
      <c r="I197">
        <f t="shared" si="15"/>
        <v>1</v>
      </c>
      <c r="J197">
        <f t="shared" si="16"/>
        <v>0</v>
      </c>
      <c r="K197">
        <f t="shared" si="17"/>
        <v>1</v>
      </c>
      <c r="L197">
        <f t="shared" si="18"/>
        <v>0</v>
      </c>
      <c r="M197">
        <v>2</v>
      </c>
      <c r="N197">
        <v>7.56</v>
      </c>
      <c r="O197" s="23">
        <v>1.44</v>
      </c>
      <c r="U197" s="2">
        <v>0.67508094538181496</v>
      </c>
      <c r="V197">
        <f>N197*Regression!$B$23</f>
        <v>0.71263220067226807</v>
      </c>
      <c r="W197">
        <f>M197*Regression!$B$22</f>
        <v>0.34992874109401623</v>
      </c>
      <c r="X197">
        <f>I197*Regression!$B$18</f>
        <v>-3.6632514766371221E-2</v>
      </c>
      <c r="Y197">
        <f>J197*Regression!$B$19</f>
        <v>0</v>
      </c>
      <c r="Z197">
        <f>K197*Regression!$B$20</f>
        <v>5.3005304982935736E-2</v>
      </c>
      <c r="AA197">
        <f>L197*Regression!$B$21</f>
        <v>0</v>
      </c>
      <c r="AB197" s="25">
        <f t="shared" si="19"/>
        <v>1.7540146773646637</v>
      </c>
    </row>
    <row r="198" spans="1:28" ht="15.5" x14ac:dyDescent="0.35">
      <c r="A198" t="s">
        <v>11</v>
      </c>
      <c r="B198" t="s">
        <v>13</v>
      </c>
      <c r="C198" t="s">
        <v>14</v>
      </c>
      <c r="D198" t="s">
        <v>15</v>
      </c>
      <c r="E198">
        <v>2</v>
      </c>
      <c r="F198">
        <v>10.34</v>
      </c>
      <c r="G198">
        <v>2</v>
      </c>
      <c r="I198">
        <f t="shared" si="15"/>
        <v>1</v>
      </c>
      <c r="J198">
        <f t="shared" si="16"/>
        <v>1</v>
      </c>
      <c r="K198">
        <f t="shared" si="17"/>
        <v>1</v>
      </c>
      <c r="L198">
        <f t="shared" si="18"/>
        <v>0</v>
      </c>
      <c r="M198">
        <v>2</v>
      </c>
      <c r="N198">
        <v>10.34</v>
      </c>
      <c r="O198" s="23">
        <v>2</v>
      </c>
      <c r="U198" s="2">
        <v>0.67508094538181496</v>
      </c>
      <c r="V198">
        <f>N198*Regression!$B$23</f>
        <v>0.97468478240095935</v>
      </c>
      <c r="W198">
        <f>M198*Regression!$B$22</f>
        <v>0.34992874109401623</v>
      </c>
      <c r="X198">
        <f>I198*Regression!$B$18</f>
        <v>-3.6632514766371221E-2</v>
      </c>
      <c r="Y198">
        <f>J198*Regression!$B$19</f>
        <v>-7.2844330789933256E-2</v>
      </c>
      <c r="Z198">
        <f>K198*Regression!$B$20</f>
        <v>5.3005304982935736E-2</v>
      </c>
      <c r="AA198">
        <f>L198*Regression!$B$21</f>
        <v>0</v>
      </c>
      <c r="AB198" s="25">
        <f t="shared" si="19"/>
        <v>1.9432229283034217</v>
      </c>
    </row>
    <row r="199" spans="1:28" ht="15.5" x14ac:dyDescent="0.35">
      <c r="A199" t="s">
        <v>7</v>
      </c>
      <c r="B199" t="s">
        <v>13</v>
      </c>
      <c r="C199" t="s">
        <v>14</v>
      </c>
      <c r="D199" t="s">
        <v>15</v>
      </c>
      <c r="E199">
        <v>4</v>
      </c>
      <c r="F199">
        <v>43.11</v>
      </c>
      <c r="G199">
        <v>5</v>
      </c>
      <c r="I199">
        <f t="shared" si="15"/>
        <v>0</v>
      </c>
      <c r="J199">
        <f t="shared" si="16"/>
        <v>1</v>
      </c>
      <c r="K199">
        <f t="shared" si="17"/>
        <v>1</v>
      </c>
      <c r="L199">
        <f t="shared" si="18"/>
        <v>0</v>
      </c>
      <c r="M199">
        <v>4</v>
      </c>
      <c r="N199">
        <v>43.11</v>
      </c>
      <c r="O199" s="23">
        <v>5</v>
      </c>
      <c r="U199" s="2">
        <v>0.67508094538181496</v>
      </c>
      <c r="V199">
        <f>N199*Regression!$B$23</f>
        <v>4.0637002871668626</v>
      </c>
      <c r="W199">
        <f>M199*Regression!$B$22</f>
        <v>0.69985748218803245</v>
      </c>
      <c r="X199">
        <f>I199*Regression!$B$18</f>
        <v>0</v>
      </c>
      <c r="Y199">
        <f>J199*Regression!$B$19</f>
        <v>-7.2844330789933256E-2</v>
      </c>
      <c r="Z199">
        <f>K199*Regression!$B$20</f>
        <v>5.3005304982935736E-2</v>
      </c>
      <c r="AA199">
        <f>L199*Regression!$B$21</f>
        <v>0</v>
      </c>
      <c r="AB199" s="25">
        <f t="shared" si="19"/>
        <v>5.4187996889297123</v>
      </c>
    </row>
    <row r="200" spans="1:28" ht="15.5" x14ac:dyDescent="0.35">
      <c r="A200" t="s">
        <v>7</v>
      </c>
      <c r="B200" t="s">
        <v>13</v>
      </c>
      <c r="C200" t="s">
        <v>14</v>
      </c>
      <c r="D200" t="s">
        <v>15</v>
      </c>
      <c r="E200">
        <v>2</v>
      </c>
      <c r="F200">
        <v>13</v>
      </c>
      <c r="G200">
        <v>2</v>
      </c>
      <c r="I200">
        <f t="shared" si="15"/>
        <v>0</v>
      </c>
      <c r="J200">
        <f t="shared" si="16"/>
        <v>1</v>
      </c>
      <c r="K200">
        <f t="shared" si="17"/>
        <v>1</v>
      </c>
      <c r="L200">
        <f t="shared" si="18"/>
        <v>0</v>
      </c>
      <c r="M200">
        <v>2</v>
      </c>
      <c r="N200">
        <v>13</v>
      </c>
      <c r="O200" s="23">
        <v>2</v>
      </c>
      <c r="U200" s="2">
        <v>0.67508094538181496</v>
      </c>
      <c r="V200">
        <f>N200*Regression!$B$23</f>
        <v>1.2254257418967573</v>
      </c>
      <c r="W200">
        <f>M200*Regression!$B$22</f>
        <v>0.34992874109401623</v>
      </c>
      <c r="X200">
        <f>I200*Regression!$B$18</f>
        <v>0</v>
      </c>
      <c r="Y200">
        <f>J200*Regression!$B$19</f>
        <v>-7.2844330789933256E-2</v>
      </c>
      <c r="Z200">
        <f>K200*Regression!$B$20</f>
        <v>5.3005304982935736E-2</v>
      </c>
      <c r="AA200">
        <f>L200*Regression!$B$21</f>
        <v>0</v>
      </c>
      <c r="AB200" s="25">
        <f t="shared" si="19"/>
        <v>2.2305964025655909</v>
      </c>
    </row>
    <row r="201" spans="1:28" ht="15.5" x14ac:dyDescent="0.35">
      <c r="A201" t="s">
        <v>11</v>
      </c>
      <c r="B201" t="s">
        <v>13</v>
      </c>
      <c r="C201" t="s">
        <v>14</v>
      </c>
      <c r="D201" t="s">
        <v>15</v>
      </c>
      <c r="E201">
        <v>2</v>
      </c>
      <c r="F201">
        <v>13.51</v>
      </c>
      <c r="G201">
        <v>2</v>
      </c>
      <c r="I201">
        <f t="shared" si="15"/>
        <v>1</v>
      </c>
      <c r="J201">
        <f t="shared" si="16"/>
        <v>1</v>
      </c>
      <c r="K201">
        <f t="shared" si="17"/>
        <v>1</v>
      </c>
      <c r="L201">
        <f t="shared" si="18"/>
        <v>0</v>
      </c>
      <c r="M201">
        <v>2</v>
      </c>
      <c r="N201">
        <v>13.51</v>
      </c>
      <c r="O201" s="23">
        <v>2</v>
      </c>
      <c r="U201" s="2">
        <v>0.67508094538181496</v>
      </c>
      <c r="V201">
        <f>N201*Regression!$B$23</f>
        <v>1.2735001363865532</v>
      </c>
      <c r="W201">
        <f>M201*Regression!$B$22</f>
        <v>0.34992874109401623</v>
      </c>
      <c r="X201">
        <f>I201*Regression!$B$18</f>
        <v>-3.6632514766371221E-2</v>
      </c>
      <c r="Y201">
        <f>J201*Regression!$B$19</f>
        <v>-7.2844330789933256E-2</v>
      </c>
      <c r="Z201">
        <f>K201*Regression!$B$20</f>
        <v>5.3005304982935736E-2</v>
      </c>
      <c r="AA201">
        <f>L201*Regression!$B$21</f>
        <v>0</v>
      </c>
      <c r="AB201" s="25">
        <f t="shared" si="19"/>
        <v>2.2420382822890157</v>
      </c>
    </row>
    <row r="202" spans="1:28" ht="15.5" x14ac:dyDescent="0.35">
      <c r="A202" t="s">
        <v>11</v>
      </c>
      <c r="B202" t="s">
        <v>13</v>
      </c>
      <c r="C202" t="s">
        <v>14</v>
      </c>
      <c r="D202" t="s">
        <v>15</v>
      </c>
      <c r="E202">
        <v>3</v>
      </c>
      <c r="F202">
        <v>18.71</v>
      </c>
      <c r="G202">
        <v>4</v>
      </c>
      <c r="I202">
        <f t="shared" si="15"/>
        <v>1</v>
      </c>
      <c r="J202">
        <f t="shared" si="16"/>
        <v>1</v>
      </c>
      <c r="K202">
        <f t="shared" si="17"/>
        <v>1</v>
      </c>
      <c r="L202">
        <f t="shared" si="18"/>
        <v>0</v>
      </c>
      <c r="M202">
        <v>3</v>
      </c>
      <c r="N202">
        <v>18.71</v>
      </c>
      <c r="O202" s="23">
        <v>4</v>
      </c>
      <c r="U202" s="2">
        <v>0.67508094538181496</v>
      </c>
      <c r="V202">
        <f>N202*Regression!$B$23</f>
        <v>1.7636704331452564</v>
      </c>
      <c r="W202">
        <f>M202*Regression!$B$22</f>
        <v>0.52489311164102437</v>
      </c>
      <c r="X202">
        <f>I202*Regression!$B$18</f>
        <v>-3.6632514766371221E-2</v>
      </c>
      <c r="Y202">
        <f>J202*Regression!$B$19</f>
        <v>-7.2844330789933256E-2</v>
      </c>
      <c r="Z202">
        <f>K202*Regression!$B$20</f>
        <v>5.3005304982935736E-2</v>
      </c>
      <c r="AA202">
        <f>L202*Regression!$B$21</f>
        <v>0</v>
      </c>
      <c r="AB202" s="25">
        <f t="shared" si="19"/>
        <v>2.9071729495947269</v>
      </c>
    </row>
    <row r="203" spans="1:28" ht="15.5" x14ac:dyDescent="0.35">
      <c r="A203" t="s">
        <v>7</v>
      </c>
      <c r="B203" t="s">
        <v>13</v>
      </c>
      <c r="C203" t="s">
        <v>14</v>
      </c>
      <c r="D203" t="s">
        <v>15</v>
      </c>
      <c r="E203">
        <v>2</v>
      </c>
      <c r="F203">
        <v>12.74</v>
      </c>
      <c r="G203">
        <v>2.0099999999999998</v>
      </c>
      <c r="I203">
        <f t="shared" si="15"/>
        <v>0</v>
      </c>
      <c r="J203">
        <f t="shared" si="16"/>
        <v>1</v>
      </c>
      <c r="K203">
        <f t="shared" si="17"/>
        <v>1</v>
      </c>
      <c r="L203">
        <f t="shared" si="18"/>
        <v>0</v>
      </c>
      <c r="M203">
        <v>2</v>
      </c>
      <c r="N203">
        <v>12.74</v>
      </c>
      <c r="O203" s="23">
        <v>2.0099999999999998</v>
      </c>
      <c r="U203" s="2">
        <v>0.67508094538181496</v>
      </c>
      <c r="V203">
        <f>N203*Regression!$B$23</f>
        <v>1.2009172270588222</v>
      </c>
      <c r="W203">
        <f>M203*Regression!$B$22</f>
        <v>0.34992874109401623</v>
      </c>
      <c r="X203">
        <f>I203*Regression!$B$18</f>
        <v>0</v>
      </c>
      <c r="Y203">
        <f>J203*Regression!$B$19</f>
        <v>-7.2844330789933256E-2</v>
      </c>
      <c r="Z203">
        <f>K203*Regression!$B$20</f>
        <v>5.3005304982935736E-2</v>
      </c>
      <c r="AA203">
        <f>L203*Regression!$B$21</f>
        <v>0</v>
      </c>
      <c r="AB203" s="25">
        <f t="shared" si="19"/>
        <v>2.206087887727656</v>
      </c>
    </row>
    <row r="204" spans="1:28" ht="15.5" x14ac:dyDescent="0.35">
      <c r="A204" t="s">
        <v>7</v>
      </c>
      <c r="B204" t="s">
        <v>13</v>
      </c>
      <c r="C204" t="s">
        <v>14</v>
      </c>
      <c r="D204" t="s">
        <v>15</v>
      </c>
      <c r="E204">
        <v>2</v>
      </c>
      <c r="F204">
        <v>16.399999999999999</v>
      </c>
      <c r="G204">
        <v>2.5</v>
      </c>
      <c r="I204">
        <f t="shared" si="15"/>
        <v>0</v>
      </c>
      <c r="J204">
        <f t="shared" si="16"/>
        <v>1</v>
      </c>
      <c r="K204">
        <f t="shared" si="17"/>
        <v>1</v>
      </c>
      <c r="L204">
        <f t="shared" si="18"/>
        <v>0</v>
      </c>
      <c r="M204">
        <v>2</v>
      </c>
      <c r="N204">
        <v>16.399999999999999</v>
      </c>
      <c r="O204" s="23">
        <v>2.5</v>
      </c>
      <c r="U204" s="2">
        <v>0.67508094538181496</v>
      </c>
      <c r="V204">
        <f>N204*Regression!$B$23</f>
        <v>1.5459217051620631</v>
      </c>
      <c r="W204">
        <f>M204*Regression!$B$22</f>
        <v>0.34992874109401623</v>
      </c>
      <c r="X204">
        <f>I204*Regression!$B$18</f>
        <v>0</v>
      </c>
      <c r="Y204">
        <f>J204*Regression!$B$19</f>
        <v>-7.2844330789933256E-2</v>
      </c>
      <c r="Z204">
        <f>K204*Regression!$B$20</f>
        <v>5.3005304982935736E-2</v>
      </c>
      <c r="AA204">
        <f>L204*Regression!$B$21</f>
        <v>0</v>
      </c>
      <c r="AB204" s="25">
        <f t="shared" si="19"/>
        <v>2.5510923658308964</v>
      </c>
    </row>
    <row r="205" spans="1:28" ht="15.5" x14ac:dyDescent="0.35">
      <c r="A205" t="s">
        <v>11</v>
      </c>
      <c r="B205" t="s">
        <v>13</v>
      </c>
      <c r="C205" t="s">
        <v>14</v>
      </c>
      <c r="D205" t="s">
        <v>15</v>
      </c>
      <c r="E205">
        <v>4</v>
      </c>
      <c r="F205">
        <v>20.53</v>
      </c>
      <c r="G205">
        <v>4</v>
      </c>
      <c r="I205">
        <f t="shared" si="15"/>
        <v>1</v>
      </c>
      <c r="J205">
        <f t="shared" si="16"/>
        <v>1</v>
      </c>
      <c r="K205">
        <f t="shared" si="17"/>
        <v>1</v>
      </c>
      <c r="L205">
        <f t="shared" si="18"/>
        <v>0</v>
      </c>
      <c r="M205">
        <v>4</v>
      </c>
      <c r="N205">
        <v>20.53</v>
      </c>
      <c r="O205" s="23">
        <v>4</v>
      </c>
      <c r="U205" s="2">
        <v>0.67508094538181496</v>
      </c>
      <c r="V205">
        <f>N205*Regression!$B$23</f>
        <v>1.9352300370108024</v>
      </c>
      <c r="W205">
        <f>M205*Regression!$B$22</f>
        <v>0.69985748218803245</v>
      </c>
      <c r="X205">
        <f>I205*Regression!$B$18</f>
        <v>-3.6632514766371221E-2</v>
      </c>
      <c r="Y205">
        <f>J205*Regression!$B$19</f>
        <v>-7.2844330789933256E-2</v>
      </c>
      <c r="Z205">
        <f>K205*Regression!$B$20</f>
        <v>5.3005304982935736E-2</v>
      </c>
      <c r="AA205">
        <f>L205*Regression!$B$21</f>
        <v>0</v>
      </c>
      <c r="AB205" s="25">
        <f t="shared" si="19"/>
        <v>3.2536969240072806</v>
      </c>
    </row>
    <row r="206" spans="1:28" ht="15.5" x14ac:dyDescent="0.35">
      <c r="A206" t="s">
        <v>7</v>
      </c>
      <c r="B206" t="s">
        <v>13</v>
      </c>
      <c r="C206" t="s">
        <v>14</v>
      </c>
      <c r="D206" t="s">
        <v>15</v>
      </c>
      <c r="E206">
        <v>3</v>
      </c>
      <c r="F206">
        <v>16.47</v>
      </c>
      <c r="G206">
        <v>3.23</v>
      </c>
      <c r="I206">
        <f t="shared" si="15"/>
        <v>0</v>
      </c>
      <c r="J206">
        <f t="shared" si="16"/>
        <v>1</v>
      </c>
      <c r="K206">
        <f t="shared" si="17"/>
        <v>1</v>
      </c>
      <c r="L206">
        <f t="shared" si="18"/>
        <v>0</v>
      </c>
      <c r="M206">
        <v>3</v>
      </c>
      <c r="N206">
        <v>16.47</v>
      </c>
      <c r="O206" s="23">
        <v>3.23</v>
      </c>
      <c r="U206" s="2">
        <v>0.67508094538181496</v>
      </c>
      <c r="V206">
        <f>N206*Regression!$B$23</f>
        <v>1.5525201514645841</v>
      </c>
      <c r="W206">
        <f>M206*Regression!$B$22</f>
        <v>0.52489311164102437</v>
      </c>
      <c r="X206">
        <f>I206*Regression!$B$18</f>
        <v>0</v>
      </c>
      <c r="Y206">
        <f>J206*Regression!$B$19</f>
        <v>-7.2844330789933256E-2</v>
      </c>
      <c r="Z206">
        <f>K206*Regression!$B$20</f>
        <v>5.3005304982935736E-2</v>
      </c>
      <c r="AA206">
        <f>L206*Regression!$B$21</f>
        <v>0</v>
      </c>
      <c r="AB206" s="25">
        <f t="shared" si="19"/>
        <v>2.7326551826804262</v>
      </c>
    </row>
    <row r="207" spans="1:28" ht="15.5" x14ac:dyDescent="0.35">
      <c r="A207" t="s">
        <v>11</v>
      </c>
      <c r="B207" t="s">
        <v>13</v>
      </c>
      <c r="C207" t="s">
        <v>12</v>
      </c>
      <c r="D207" t="s">
        <v>10</v>
      </c>
      <c r="E207">
        <v>3</v>
      </c>
      <c r="F207">
        <v>26.59</v>
      </c>
      <c r="G207">
        <v>3.41</v>
      </c>
      <c r="I207">
        <f t="shared" si="15"/>
        <v>1</v>
      </c>
      <c r="J207">
        <f t="shared" si="16"/>
        <v>1</v>
      </c>
      <c r="K207">
        <f t="shared" si="17"/>
        <v>3</v>
      </c>
      <c r="L207">
        <f t="shared" si="18"/>
        <v>1</v>
      </c>
      <c r="M207">
        <v>3</v>
      </c>
      <c r="N207">
        <v>26.59</v>
      </c>
      <c r="O207" s="23">
        <v>3.41</v>
      </c>
      <c r="U207" s="2">
        <v>0.67508094538181496</v>
      </c>
      <c r="V207">
        <f>N207*Regression!$B$23</f>
        <v>2.506466959771906</v>
      </c>
      <c r="W207">
        <f>M207*Regression!$B$22</f>
        <v>0.52489311164102437</v>
      </c>
      <c r="X207">
        <f>I207*Regression!$B$18</f>
        <v>-3.6632514766371221E-2</v>
      </c>
      <c r="Y207">
        <f>J207*Regression!$B$19</f>
        <v>-7.2844330789933256E-2</v>
      </c>
      <c r="Z207">
        <f>K207*Regression!$B$20</f>
        <v>0.15901591494880721</v>
      </c>
      <c r="AA207">
        <f>L207*Regression!$B$21</f>
        <v>-0.11600626172099011</v>
      </c>
      <c r="AB207" s="25">
        <f t="shared" si="19"/>
        <v>3.6399738244662578</v>
      </c>
    </row>
    <row r="208" spans="1:28" ht="15.5" x14ac:dyDescent="0.35">
      <c r="A208" t="s">
        <v>11</v>
      </c>
      <c r="B208" t="s">
        <v>13</v>
      </c>
      <c r="C208" t="s">
        <v>12</v>
      </c>
      <c r="D208" t="s">
        <v>10</v>
      </c>
      <c r="E208">
        <v>4</v>
      </c>
      <c r="F208">
        <v>38.729999999999997</v>
      </c>
      <c r="G208">
        <v>3</v>
      </c>
      <c r="I208">
        <f t="shared" si="15"/>
        <v>1</v>
      </c>
      <c r="J208">
        <f t="shared" si="16"/>
        <v>1</v>
      </c>
      <c r="K208">
        <f t="shared" si="17"/>
        <v>3</v>
      </c>
      <c r="L208">
        <f t="shared" si="18"/>
        <v>1</v>
      </c>
      <c r="M208">
        <v>4</v>
      </c>
      <c r="N208">
        <v>38.729999999999997</v>
      </c>
      <c r="O208" s="23">
        <v>3</v>
      </c>
      <c r="U208" s="2">
        <v>0.67508094538181496</v>
      </c>
      <c r="V208">
        <f>N208*Regression!$B$23</f>
        <v>3.6508260756662625</v>
      </c>
      <c r="W208">
        <f>M208*Regression!$B$22</f>
        <v>0.69985748218803245</v>
      </c>
      <c r="X208">
        <f>I208*Regression!$B$18</f>
        <v>-3.6632514766371221E-2</v>
      </c>
      <c r="Y208">
        <f>J208*Regression!$B$19</f>
        <v>-7.2844330789933256E-2</v>
      </c>
      <c r="Z208">
        <f>K208*Regression!$B$20</f>
        <v>0.15901591494880721</v>
      </c>
      <c r="AA208">
        <f>L208*Regression!$B$21</f>
        <v>-0.11600626172099011</v>
      </c>
      <c r="AB208" s="25">
        <f t="shared" si="19"/>
        <v>4.9592973109076235</v>
      </c>
    </row>
    <row r="209" spans="1:28" ht="15.5" x14ac:dyDescent="0.35">
      <c r="A209" t="s">
        <v>11</v>
      </c>
      <c r="B209" t="s">
        <v>13</v>
      </c>
      <c r="C209" t="s">
        <v>12</v>
      </c>
      <c r="D209" t="s">
        <v>10</v>
      </c>
      <c r="E209">
        <v>2</v>
      </c>
      <c r="F209">
        <v>24.27</v>
      </c>
      <c r="G209">
        <v>2.0299999999999998</v>
      </c>
      <c r="I209">
        <f t="shared" si="15"/>
        <v>1</v>
      </c>
      <c r="J209">
        <f t="shared" si="16"/>
        <v>1</v>
      </c>
      <c r="K209">
        <f t="shared" si="17"/>
        <v>3</v>
      </c>
      <c r="L209">
        <f t="shared" si="18"/>
        <v>1</v>
      </c>
      <c r="M209">
        <v>2</v>
      </c>
      <c r="N209">
        <v>24.27</v>
      </c>
      <c r="O209" s="23">
        <v>2.0299999999999998</v>
      </c>
      <c r="U209" s="2">
        <v>0.67508094538181496</v>
      </c>
      <c r="V209">
        <f>N209*Regression!$B$23</f>
        <v>2.2877755966026387</v>
      </c>
      <c r="W209">
        <f>M209*Regression!$B$22</f>
        <v>0.34992874109401623</v>
      </c>
      <c r="X209">
        <f>I209*Regression!$B$18</f>
        <v>-3.6632514766371221E-2</v>
      </c>
      <c r="Y209">
        <f>J209*Regression!$B$19</f>
        <v>-7.2844330789933256E-2</v>
      </c>
      <c r="Z209">
        <f>K209*Regression!$B$20</f>
        <v>0.15901591494880721</v>
      </c>
      <c r="AA209">
        <f>L209*Regression!$B$21</f>
        <v>-0.11600626172099011</v>
      </c>
      <c r="AB209" s="25">
        <f t="shared" si="19"/>
        <v>3.2463180907499822</v>
      </c>
    </row>
    <row r="210" spans="1:28" ht="15.5" x14ac:dyDescent="0.35">
      <c r="A210" t="s">
        <v>7</v>
      </c>
      <c r="B210" t="s">
        <v>13</v>
      </c>
      <c r="C210" t="s">
        <v>12</v>
      </c>
      <c r="D210" t="s">
        <v>10</v>
      </c>
      <c r="E210">
        <v>2</v>
      </c>
      <c r="F210">
        <v>12.76</v>
      </c>
      <c r="G210">
        <v>2.23</v>
      </c>
      <c r="I210">
        <f t="shared" si="15"/>
        <v>0</v>
      </c>
      <c r="J210">
        <f t="shared" si="16"/>
        <v>1</v>
      </c>
      <c r="K210">
        <f t="shared" si="17"/>
        <v>3</v>
      </c>
      <c r="L210">
        <f t="shared" si="18"/>
        <v>1</v>
      </c>
      <c r="M210">
        <v>2</v>
      </c>
      <c r="N210">
        <v>12.76</v>
      </c>
      <c r="O210" s="23">
        <v>2.23</v>
      </c>
      <c r="U210" s="2">
        <v>0.67508094538181496</v>
      </c>
      <c r="V210">
        <f>N210*Regression!$B$23</f>
        <v>1.202802497430971</v>
      </c>
      <c r="W210">
        <f>M210*Regression!$B$22</f>
        <v>0.34992874109401623</v>
      </c>
      <c r="X210">
        <f>I210*Regression!$B$18</f>
        <v>0</v>
      </c>
      <c r="Y210">
        <f>J210*Regression!$B$19</f>
        <v>-7.2844330789933256E-2</v>
      </c>
      <c r="Z210">
        <f>K210*Regression!$B$20</f>
        <v>0.15901591494880721</v>
      </c>
      <c r="AA210">
        <f>L210*Regression!$B$21</f>
        <v>-0.11600626172099011</v>
      </c>
      <c r="AB210" s="25">
        <f t="shared" si="19"/>
        <v>2.197977506344686</v>
      </c>
    </row>
    <row r="211" spans="1:28" ht="15.5" x14ac:dyDescent="0.35">
      <c r="A211" t="s">
        <v>11</v>
      </c>
      <c r="B211" t="s">
        <v>13</v>
      </c>
      <c r="C211" t="s">
        <v>12</v>
      </c>
      <c r="D211" t="s">
        <v>10</v>
      </c>
      <c r="E211">
        <v>3</v>
      </c>
      <c r="F211">
        <v>30.06</v>
      </c>
      <c r="G211">
        <v>2</v>
      </c>
      <c r="I211">
        <f t="shared" si="15"/>
        <v>1</v>
      </c>
      <c r="J211">
        <f t="shared" si="16"/>
        <v>1</v>
      </c>
      <c r="K211">
        <f t="shared" si="17"/>
        <v>3</v>
      </c>
      <c r="L211">
        <f t="shared" si="18"/>
        <v>1</v>
      </c>
      <c r="M211">
        <v>3</v>
      </c>
      <c r="N211">
        <v>30.06</v>
      </c>
      <c r="O211" s="23">
        <v>2</v>
      </c>
      <c r="U211" s="2">
        <v>0.67508094538181496</v>
      </c>
      <c r="V211">
        <f>N211*Regression!$B$23</f>
        <v>2.833561369339733</v>
      </c>
      <c r="W211">
        <f>M211*Regression!$B$22</f>
        <v>0.52489311164102437</v>
      </c>
      <c r="X211">
        <f>I211*Regression!$B$18</f>
        <v>-3.6632514766371221E-2</v>
      </c>
      <c r="Y211">
        <f>J211*Regression!$B$19</f>
        <v>-7.2844330789933256E-2</v>
      </c>
      <c r="Z211">
        <f>K211*Regression!$B$20</f>
        <v>0.15901591494880721</v>
      </c>
      <c r="AA211">
        <f>L211*Regression!$B$21</f>
        <v>-0.11600626172099011</v>
      </c>
      <c r="AB211" s="25">
        <f t="shared" si="19"/>
        <v>3.9670682340340848</v>
      </c>
    </row>
    <row r="212" spans="1:28" ht="15.5" x14ac:dyDescent="0.35">
      <c r="A212" t="s">
        <v>11</v>
      </c>
      <c r="B212" t="s">
        <v>13</v>
      </c>
      <c r="C212" t="s">
        <v>12</v>
      </c>
      <c r="D212" t="s">
        <v>10</v>
      </c>
      <c r="E212">
        <v>4</v>
      </c>
      <c r="F212">
        <v>25.89</v>
      </c>
      <c r="G212">
        <v>5.16</v>
      </c>
      <c r="I212">
        <f t="shared" si="15"/>
        <v>1</v>
      </c>
      <c r="J212">
        <f t="shared" si="16"/>
        <v>1</v>
      </c>
      <c r="K212">
        <f t="shared" si="17"/>
        <v>3</v>
      </c>
      <c r="L212">
        <f t="shared" si="18"/>
        <v>1</v>
      </c>
      <c r="M212">
        <v>4</v>
      </c>
      <c r="N212">
        <v>25.89</v>
      </c>
      <c r="O212" s="23">
        <v>5.16</v>
      </c>
      <c r="U212" s="2">
        <v>0.67508094538181496</v>
      </c>
      <c r="V212">
        <f>N212*Regression!$B$23</f>
        <v>2.440482496746696</v>
      </c>
      <c r="W212">
        <f>M212*Regression!$B$22</f>
        <v>0.69985748218803245</v>
      </c>
      <c r="X212">
        <f>I212*Regression!$B$18</f>
        <v>-3.6632514766371221E-2</v>
      </c>
      <c r="Y212">
        <f>J212*Regression!$B$19</f>
        <v>-7.2844330789933256E-2</v>
      </c>
      <c r="Z212">
        <f>K212*Regression!$B$20</f>
        <v>0.15901591494880721</v>
      </c>
      <c r="AA212">
        <f>L212*Regression!$B$21</f>
        <v>-0.11600626172099011</v>
      </c>
      <c r="AB212" s="25">
        <f t="shared" si="19"/>
        <v>3.7489537319880557</v>
      </c>
    </row>
    <row r="213" spans="1:28" ht="15.5" x14ac:dyDescent="0.35">
      <c r="A213" t="s">
        <v>11</v>
      </c>
      <c r="B213" t="s">
        <v>8</v>
      </c>
      <c r="C213" t="s">
        <v>12</v>
      </c>
      <c r="D213" t="s">
        <v>10</v>
      </c>
      <c r="E213">
        <v>4</v>
      </c>
      <c r="F213">
        <v>48.33</v>
      </c>
      <c r="G213">
        <v>9</v>
      </c>
      <c r="I213">
        <f t="shared" si="15"/>
        <v>1</v>
      </c>
      <c r="J213">
        <f t="shared" si="16"/>
        <v>0</v>
      </c>
      <c r="K213">
        <f t="shared" si="17"/>
        <v>3</v>
      </c>
      <c r="L213">
        <f t="shared" si="18"/>
        <v>1</v>
      </c>
      <c r="M213">
        <v>4</v>
      </c>
      <c r="N213">
        <v>48.33</v>
      </c>
      <c r="O213" s="23">
        <v>9</v>
      </c>
      <c r="U213" s="2">
        <v>0.67508094538181496</v>
      </c>
      <c r="V213">
        <f>N213*Regression!$B$23</f>
        <v>4.5557558542977139</v>
      </c>
      <c r="W213">
        <f>M213*Regression!$B$22</f>
        <v>0.69985748218803245</v>
      </c>
      <c r="X213">
        <f>I213*Regression!$B$18</f>
        <v>-3.6632514766371221E-2</v>
      </c>
      <c r="Y213">
        <f>J213*Regression!$B$19</f>
        <v>0</v>
      </c>
      <c r="Z213">
        <f>K213*Regression!$B$20</f>
        <v>0.15901591494880721</v>
      </c>
      <c r="AA213">
        <f>L213*Regression!$B$21</f>
        <v>-0.11600626172099011</v>
      </c>
      <c r="AB213" s="25">
        <f t="shared" si="19"/>
        <v>5.9370714203290076</v>
      </c>
    </row>
    <row r="214" spans="1:28" ht="15.5" x14ac:dyDescent="0.35">
      <c r="A214" t="s">
        <v>7</v>
      </c>
      <c r="B214" t="s">
        <v>13</v>
      </c>
      <c r="C214" t="s">
        <v>12</v>
      </c>
      <c r="D214" t="s">
        <v>10</v>
      </c>
      <c r="E214">
        <v>2</v>
      </c>
      <c r="F214">
        <v>13.27</v>
      </c>
      <c r="G214">
        <v>2.5</v>
      </c>
      <c r="I214">
        <f t="shared" si="15"/>
        <v>0</v>
      </c>
      <c r="J214">
        <f t="shared" si="16"/>
        <v>1</v>
      </c>
      <c r="K214">
        <f t="shared" si="17"/>
        <v>3</v>
      </c>
      <c r="L214">
        <f t="shared" si="18"/>
        <v>1</v>
      </c>
      <c r="M214">
        <v>2</v>
      </c>
      <c r="N214">
        <v>13.27</v>
      </c>
      <c r="O214" s="23">
        <v>2.5</v>
      </c>
      <c r="U214" s="2">
        <v>0.67508094538181496</v>
      </c>
      <c r="V214">
        <f>N214*Regression!$B$23</f>
        <v>1.2508768919207669</v>
      </c>
      <c r="W214">
        <f>M214*Regression!$B$22</f>
        <v>0.34992874109401623</v>
      </c>
      <c r="X214">
        <f>I214*Regression!$B$18</f>
        <v>0</v>
      </c>
      <c r="Y214">
        <f>J214*Regression!$B$19</f>
        <v>-7.2844330789933256E-2</v>
      </c>
      <c r="Z214">
        <f>K214*Regression!$B$20</f>
        <v>0.15901591494880721</v>
      </c>
      <c r="AA214">
        <f>L214*Regression!$B$21</f>
        <v>-0.11600626172099011</v>
      </c>
      <c r="AB214" s="25">
        <f t="shared" si="19"/>
        <v>2.2460519008344817</v>
      </c>
    </row>
    <row r="215" spans="1:28" ht="15.5" x14ac:dyDescent="0.35">
      <c r="A215" t="s">
        <v>7</v>
      </c>
      <c r="B215" t="s">
        <v>13</v>
      </c>
      <c r="C215" t="s">
        <v>12</v>
      </c>
      <c r="D215" t="s">
        <v>10</v>
      </c>
      <c r="E215">
        <v>3</v>
      </c>
      <c r="F215">
        <v>28.17</v>
      </c>
      <c r="G215">
        <v>6.5</v>
      </c>
      <c r="I215">
        <f t="shared" si="15"/>
        <v>0</v>
      </c>
      <c r="J215">
        <f t="shared" si="16"/>
        <v>1</v>
      </c>
      <c r="K215">
        <f t="shared" si="17"/>
        <v>3</v>
      </c>
      <c r="L215">
        <f t="shared" si="18"/>
        <v>1</v>
      </c>
      <c r="M215">
        <v>3</v>
      </c>
      <c r="N215">
        <v>28.17</v>
      </c>
      <c r="O215" s="23">
        <v>6.5</v>
      </c>
      <c r="U215" s="2">
        <v>0.67508094538181496</v>
      </c>
      <c r="V215">
        <f>N215*Regression!$B$23</f>
        <v>2.6554033191716662</v>
      </c>
      <c r="W215">
        <f>M215*Regression!$B$22</f>
        <v>0.52489311164102437</v>
      </c>
      <c r="X215">
        <f>I215*Regression!$B$18</f>
        <v>0</v>
      </c>
      <c r="Y215">
        <f>J215*Regression!$B$19</f>
        <v>-7.2844330789933256E-2</v>
      </c>
      <c r="Z215">
        <f>K215*Regression!$B$20</f>
        <v>0.15901591494880721</v>
      </c>
      <c r="AA215">
        <f>L215*Regression!$B$21</f>
        <v>-0.11600626172099011</v>
      </c>
      <c r="AB215" s="25">
        <f t="shared" si="19"/>
        <v>3.8255426986323893</v>
      </c>
    </row>
    <row r="216" spans="1:28" ht="15.5" x14ac:dyDescent="0.35">
      <c r="A216" t="s">
        <v>7</v>
      </c>
      <c r="B216" t="s">
        <v>13</v>
      </c>
      <c r="C216" t="s">
        <v>12</v>
      </c>
      <c r="D216" t="s">
        <v>10</v>
      </c>
      <c r="E216">
        <v>2</v>
      </c>
      <c r="F216">
        <v>12.9</v>
      </c>
      <c r="G216">
        <v>1.1000000000000001</v>
      </c>
      <c r="I216">
        <f t="shared" si="15"/>
        <v>0</v>
      </c>
      <c r="J216">
        <f t="shared" si="16"/>
        <v>1</v>
      </c>
      <c r="K216">
        <f t="shared" si="17"/>
        <v>3</v>
      </c>
      <c r="L216">
        <f t="shared" si="18"/>
        <v>1</v>
      </c>
      <c r="M216">
        <v>2</v>
      </c>
      <c r="N216">
        <v>12.9</v>
      </c>
      <c r="O216" s="23">
        <v>1.1000000000000001</v>
      </c>
      <c r="U216" s="2">
        <v>0.67508094538181496</v>
      </c>
      <c r="V216">
        <f>N216*Regression!$B$23</f>
        <v>1.2159993900360131</v>
      </c>
      <c r="W216">
        <f>M216*Regression!$B$22</f>
        <v>0.34992874109401623</v>
      </c>
      <c r="X216">
        <f>I216*Regression!$B$18</f>
        <v>0</v>
      </c>
      <c r="Y216">
        <f>J216*Regression!$B$19</f>
        <v>-7.2844330789933256E-2</v>
      </c>
      <c r="Z216">
        <f>K216*Regression!$B$20</f>
        <v>0.15901591494880721</v>
      </c>
      <c r="AA216">
        <f>L216*Regression!$B$21</f>
        <v>-0.11600626172099011</v>
      </c>
      <c r="AB216" s="25">
        <f t="shared" si="19"/>
        <v>2.2111743989497281</v>
      </c>
    </row>
    <row r="217" spans="1:28" ht="15.5" x14ac:dyDescent="0.35">
      <c r="A217" t="s">
        <v>11</v>
      </c>
      <c r="B217" t="s">
        <v>13</v>
      </c>
      <c r="C217" t="s">
        <v>12</v>
      </c>
      <c r="D217" t="s">
        <v>10</v>
      </c>
      <c r="E217">
        <v>5</v>
      </c>
      <c r="F217">
        <v>28.15</v>
      </c>
      <c r="G217">
        <v>3</v>
      </c>
      <c r="I217">
        <f t="shared" si="15"/>
        <v>1</v>
      </c>
      <c r="J217">
        <f t="shared" si="16"/>
        <v>1</v>
      </c>
      <c r="K217">
        <f t="shared" si="17"/>
        <v>3</v>
      </c>
      <c r="L217">
        <f t="shared" si="18"/>
        <v>1</v>
      </c>
      <c r="M217">
        <v>5</v>
      </c>
      <c r="N217">
        <v>28.15</v>
      </c>
      <c r="O217" s="23">
        <v>3</v>
      </c>
      <c r="U217" s="2">
        <v>0.67508094538181496</v>
      </c>
      <c r="V217">
        <f>N217*Regression!$B$23</f>
        <v>2.6535180487995169</v>
      </c>
      <c r="W217">
        <f>M217*Regression!$B$22</f>
        <v>0.87482185273504054</v>
      </c>
      <c r="X217">
        <f>I217*Regression!$B$18</f>
        <v>-3.6632514766371221E-2</v>
      </c>
      <c r="Y217">
        <f>J217*Regression!$B$19</f>
        <v>-7.2844330789933256E-2</v>
      </c>
      <c r="Z217">
        <f>K217*Regression!$B$20</f>
        <v>0.15901591494880721</v>
      </c>
      <c r="AA217">
        <f>L217*Regression!$B$21</f>
        <v>-0.11600626172099011</v>
      </c>
      <c r="AB217" s="25">
        <f t="shared" si="19"/>
        <v>4.1369536545878853</v>
      </c>
    </row>
    <row r="218" spans="1:28" ht="15.5" x14ac:dyDescent="0.35">
      <c r="A218" t="s">
        <v>11</v>
      </c>
      <c r="B218" t="s">
        <v>13</v>
      </c>
      <c r="C218" t="s">
        <v>12</v>
      </c>
      <c r="D218" t="s">
        <v>10</v>
      </c>
      <c r="E218">
        <v>2</v>
      </c>
      <c r="F218">
        <v>11.59</v>
      </c>
      <c r="G218">
        <v>1.5</v>
      </c>
      <c r="I218">
        <f t="shared" si="15"/>
        <v>1</v>
      </c>
      <c r="J218">
        <f t="shared" si="16"/>
        <v>1</v>
      </c>
      <c r="K218">
        <f t="shared" si="17"/>
        <v>3</v>
      </c>
      <c r="L218">
        <f t="shared" si="18"/>
        <v>1</v>
      </c>
      <c r="M218">
        <v>2</v>
      </c>
      <c r="N218">
        <v>11.59</v>
      </c>
      <c r="O218" s="23">
        <v>1.5</v>
      </c>
      <c r="U218" s="2">
        <v>0.67508094538181496</v>
      </c>
      <c r="V218">
        <f>N218*Regression!$B$23</f>
        <v>1.092514180660263</v>
      </c>
      <c r="W218">
        <f>M218*Regression!$B$22</f>
        <v>0.34992874109401623</v>
      </c>
      <c r="X218">
        <f>I218*Regression!$B$18</f>
        <v>-3.6632514766371221E-2</v>
      </c>
      <c r="Y218">
        <f>J218*Regression!$B$19</f>
        <v>-7.2844330789933256E-2</v>
      </c>
      <c r="Z218">
        <f>K218*Regression!$B$20</f>
        <v>0.15901591494880721</v>
      </c>
      <c r="AA218">
        <f>L218*Regression!$B$21</f>
        <v>-0.11600626172099011</v>
      </c>
      <c r="AB218" s="25">
        <f t="shared" si="19"/>
        <v>2.0510566748076067</v>
      </c>
    </row>
    <row r="219" spans="1:28" ht="15.5" x14ac:dyDescent="0.35">
      <c r="A219" t="s">
        <v>11</v>
      </c>
      <c r="B219" t="s">
        <v>13</v>
      </c>
      <c r="C219" t="s">
        <v>12</v>
      </c>
      <c r="D219" t="s">
        <v>10</v>
      </c>
      <c r="E219">
        <v>2</v>
      </c>
      <c r="F219">
        <v>7.74</v>
      </c>
      <c r="G219">
        <v>1.44</v>
      </c>
      <c r="I219">
        <f t="shared" si="15"/>
        <v>1</v>
      </c>
      <c r="J219">
        <f t="shared" si="16"/>
        <v>1</v>
      </c>
      <c r="K219">
        <f t="shared" si="17"/>
        <v>3</v>
      </c>
      <c r="L219">
        <f t="shared" si="18"/>
        <v>1</v>
      </c>
      <c r="M219">
        <v>2</v>
      </c>
      <c r="N219">
        <v>7.74</v>
      </c>
      <c r="O219" s="23">
        <v>1.44</v>
      </c>
      <c r="U219" s="2">
        <v>0.67508094538181496</v>
      </c>
      <c r="V219">
        <f>N219*Regression!$B$23</f>
        <v>0.72959963402160788</v>
      </c>
      <c r="W219">
        <f>M219*Regression!$B$22</f>
        <v>0.34992874109401623</v>
      </c>
      <c r="X219">
        <f>I219*Regression!$B$18</f>
        <v>-3.6632514766371221E-2</v>
      </c>
      <c r="Y219">
        <f>J219*Regression!$B$19</f>
        <v>-7.2844330789933256E-2</v>
      </c>
      <c r="Z219">
        <f>K219*Regression!$B$20</f>
        <v>0.15901591494880721</v>
      </c>
      <c r="AA219">
        <f>L219*Regression!$B$21</f>
        <v>-0.11600626172099011</v>
      </c>
      <c r="AB219" s="25">
        <f t="shared" si="19"/>
        <v>1.6881421281689517</v>
      </c>
    </row>
    <row r="220" spans="1:28" ht="15.5" x14ac:dyDescent="0.35">
      <c r="A220" t="s">
        <v>7</v>
      </c>
      <c r="B220" t="s">
        <v>13</v>
      </c>
      <c r="C220" t="s">
        <v>12</v>
      </c>
      <c r="D220" t="s">
        <v>10</v>
      </c>
      <c r="E220">
        <v>4</v>
      </c>
      <c r="F220">
        <v>30.14</v>
      </c>
      <c r="G220">
        <v>3.09</v>
      </c>
      <c r="I220">
        <f t="shared" si="15"/>
        <v>0</v>
      </c>
      <c r="J220">
        <f t="shared" si="16"/>
        <v>1</v>
      </c>
      <c r="K220">
        <f t="shared" si="17"/>
        <v>3</v>
      </c>
      <c r="L220">
        <f t="shared" si="18"/>
        <v>1</v>
      </c>
      <c r="M220">
        <v>4</v>
      </c>
      <c r="N220">
        <v>30.14</v>
      </c>
      <c r="O220" s="23">
        <v>3.09</v>
      </c>
      <c r="U220" s="2">
        <v>0.67508094538181496</v>
      </c>
      <c r="V220">
        <f>N220*Regression!$B$23</f>
        <v>2.8411024508283282</v>
      </c>
      <c r="W220">
        <f>M220*Regression!$B$22</f>
        <v>0.69985748218803245</v>
      </c>
      <c r="X220">
        <f>I220*Regression!$B$18</f>
        <v>0</v>
      </c>
      <c r="Y220">
        <f>J220*Regression!$B$19</f>
        <v>-7.2844330789933256E-2</v>
      </c>
      <c r="Z220">
        <f>K220*Regression!$B$20</f>
        <v>0.15901591494880721</v>
      </c>
      <c r="AA220">
        <f>L220*Regression!$B$21</f>
        <v>-0.11600626172099011</v>
      </c>
      <c r="AB220" s="25">
        <f t="shared" si="19"/>
        <v>4.1862062008360601</v>
      </c>
    </row>
    <row r="221" spans="1:28" ht="15.5" x14ac:dyDescent="0.35">
      <c r="A221" t="s">
        <v>11</v>
      </c>
      <c r="B221" t="s">
        <v>13</v>
      </c>
      <c r="C221" t="s">
        <v>16</v>
      </c>
      <c r="D221" t="s">
        <v>15</v>
      </c>
      <c r="E221">
        <v>2</v>
      </c>
      <c r="F221">
        <v>12.16</v>
      </c>
      <c r="G221">
        <v>2.2000000000000002</v>
      </c>
      <c r="I221">
        <f t="shared" si="15"/>
        <v>1</v>
      </c>
      <c r="J221">
        <f t="shared" si="16"/>
        <v>1</v>
      </c>
      <c r="K221">
        <f t="shared" si="17"/>
        <v>2</v>
      </c>
      <c r="L221">
        <f t="shared" si="18"/>
        <v>0</v>
      </c>
      <c r="M221">
        <v>2</v>
      </c>
      <c r="N221">
        <v>12.16</v>
      </c>
      <c r="O221" s="23">
        <v>2.2000000000000002</v>
      </c>
      <c r="U221" s="2">
        <v>0.67508094538181496</v>
      </c>
      <c r="V221">
        <f>N221*Regression!$B$23</f>
        <v>1.1462443862665055</v>
      </c>
      <c r="W221">
        <f>M221*Regression!$B$22</f>
        <v>0.34992874109401623</v>
      </c>
      <c r="X221">
        <f>I221*Regression!$B$18</f>
        <v>-3.6632514766371221E-2</v>
      </c>
      <c r="Y221">
        <f>J221*Regression!$B$19</f>
        <v>-7.2844330789933256E-2</v>
      </c>
      <c r="Z221">
        <f>K221*Regression!$B$20</f>
        <v>0.10601060996587147</v>
      </c>
      <c r="AA221">
        <f>L221*Regression!$B$21</f>
        <v>0</v>
      </c>
      <c r="AB221" s="25">
        <f t="shared" si="19"/>
        <v>2.1677878371519039</v>
      </c>
    </row>
    <row r="222" spans="1:28" ht="15.5" x14ac:dyDescent="0.35">
      <c r="A222" t="s">
        <v>7</v>
      </c>
      <c r="B222" t="s">
        <v>13</v>
      </c>
      <c r="C222" t="s">
        <v>16</v>
      </c>
      <c r="D222" t="s">
        <v>15</v>
      </c>
      <c r="E222">
        <v>2</v>
      </c>
      <c r="F222">
        <v>13.42</v>
      </c>
      <c r="G222">
        <v>3.48</v>
      </c>
      <c r="I222">
        <f t="shared" si="15"/>
        <v>0</v>
      </c>
      <c r="J222">
        <f t="shared" si="16"/>
        <v>1</v>
      </c>
      <c r="K222">
        <f t="shared" si="17"/>
        <v>2</v>
      </c>
      <c r="L222">
        <f t="shared" si="18"/>
        <v>0</v>
      </c>
      <c r="M222">
        <v>2</v>
      </c>
      <c r="N222">
        <v>13.42</v>
      </c>
      <c r="O222" s="23">
        <v>3.48</v>
      </c>
      <c r="U222" s="2">
        <v>0.67508094538181496</v>
      </c>
      <c r="V222">
        <f>N222*Regression!$B$23</f>
        <v>1.2650164197118834</v>
      </c>
      <c r="W222">
        <f>M222*Regression!$B$22</f>
        <v>0.34992874109401623</v>
      </c>
      <c r="X222">
        <f>I222*Regression!$B$18</f>
        <v>0</v>
      </c>
      <c r="Y222">
        <f>J222*Regression!$B$19</f>
        <v>-7.2844330789933256E-2</v>
      </c>
      <c r="Z222">
        <f>K222*Regression!$B$20</f>
        <v>0.10601060996587147</v>
      </c>
      <c r="AA222">
        <f>L222*Regression!$B$21</f>
        <v>0</v>
      </c>
      <c r="AB222" s="25">
        <f t="shared" si="19"/>
        <v>2.3231923853636531</v>
      </c>
    </row>
    <row r="223" spans="1:28" ht="15.5" x14ac:dyDescent="0.35">
      <c r="A223" t="s">
        <v>11</v>
      </c>
      <c r="B223" t="s">
        <v>13</v>
      </c>
      <c r="C223" t="s">
        <v>16</v>
      </c>
      <c r="D223" t="s">
        <v>15</v>
      </c>
      <c r="E223">
        <v>1</v>
      </c>
      <c r="F223">
        <v>8.58</v>
      </c>
      <c r="G223">
        <v>1.92</v>
      </c>
      <c r="I223">
        <f t="shared" si="15"/>
        <v>1</v>
      </c>
      <c r="J223">
        <f t="shared" si="16"/>
        <v>1</v>
      </c>
      <c r="K223">
        <f t="shared" si="17"/>
        <v>2</v>
      </c>
      <c r="L223">
        <f t="shared" si="18"/>
        <v>0</v>
      </c>
      <c r="M223">
        <v>1</v>
      </c>
      <c r="N223">
        <v>8.58</v>
      </c>
      <c r="O223" s="23">
        <v>1.92</v>
      </c>
      <c r="U223" s="2">
        <v>0.67508094538181496</v>
      </c>
      <c r="V223">
        <f>N223*Regression!$B$23</f>
        <v>0.80878098965185985</v>
      </c>
      <c r="W223">
        <f>M223*Regression!$B$22</f>
        <v>0.17496437054700811</v>
      </c>
      <c r="X223">
        <f>I223*Regression!$B$18</f>
        <v>-3.6632514766371221E-2</v>
      </c>
      <c r="Y223">
        <f>J223*Regression!$B$19</f>
        <v>-7.2844330789933256E-2</v>
      </c>
      <c r="Z223">
        <f>K223*Regression!$B$20</f>
        <v>0.10601060996587147</v>
      </c>
      <c r="AA223">
        <f>L223*Regression!$B$21</f>
        <v>0</v>
      </c>
      <c r="AB223" s="25">
        <f t="shared" si="19"/>
        <v>1.6553600699902498</v>
      </c>
    </row>
    <row r="224" spans="1:28" ht="15.5" x14ac:dyDescent="0.35">
      <c r="A224" t="s">
        <v>7</v>
      </c>
      <c r="B224" t="s">
        <v>8</v>
      </c>
      <c r="C224" t="s">
        <v>16</v>
      </c>
      <c r="D224" t="s">
        <v>15</v>
      </c>
      <c r="E224">
        <v>3</v>
      </c>
      <c r="F224">
        <v>15.98</v>
      </c>
      <c r="G224">
        <v>3</v>
      </c>
      <c r="I224">
        <f t="shared" si="15"/>
        <v>0</v>
      </c>
      <c r="J224">
        <f t="shared" si="16"/>
        <v>0</v>
      </c>
      <c r="K224">
        <f t="shared" si="17"/>
        <v>2</v>
      </c>
      <c r="L224">
        <f t="shared" si="18"/>
        <v>0</v>
      </c>
      <c r="M224">
        <v>3</v>
      </c>
      <c r="N224">
        <v>15.98</v>
      </c>
      <c r="O224" s="23">
        <v>3</v>
      </c>
      <c r="U224" s="2">
        <v>0.67508094538181496</v>
      </c>
      <c r="V224">
        <f>N224*Regression!$B$23</f>
        <v>1.5063310273469372</v>
      </c>
      <c r="W224">
        <f>M224*Regression!$B$22</f>
        <v>0.52489311164102437</v>
      </c>
      <c r="X224">
        <f>I224*Regression!$B$18</f>
        <v>0</v>
      </c>
      <c r="Y224">
        <f>J224*Regression!$B$19</f>
        <v>0</v>
      </c>
      <c r="Z224">
        <f>K224*Regression!$B$20</f>
        <v>0.10601060996587147</v>
      </c>
      <c r="AA224">
        <f>L224*Regression!$B$21</f>
        <v>0</v>
      </c>
      <c r="AB224" s="25">
        <f t="shared" si="19"/>
        <v>2.8123156943356484</v>
      </c>
    </row>
    <row r="225" spans="1:28" ht="15.5" x14ac:dyDescent="0.35">
      <c r="A225" t="s">
        <v>11</v>
      </c>
      <c r="B225" t="s">
        <v>13</v>
      </c>
      <c r="C225" t="s">
        <v>16</v>
      </c>
      <c r="D225" t="s">
        <v>15</v>
      </c>
      <c r="E225">
        <v>2</v>
      </c>
      <c r="F225">
        <v>13.42</v>
      </c>
      <c r="G225">
        <v>1.58</v>
      </c>
      <c r="I225">
        <f t="shared" si="15"/>
        <v>1</v>
      </c>
      <c r="J225">
        <f t="shared" si="16"/>
        <v>1</v>
      </c>
      <c r="K225">
        <f t="shared" si="17"/>
        <v>2</v>
      </c>
      <c r="L225">
        <f t="shared" si="18"/>
        <v>0</v>
      </c>
      <c r="M225">
        <v>2</v>
      </c>
      <c r="N225">
        <v>13.42</v>
      </c>
      <c r="O225" s="23">
        <v>1.58</v>
      </c>
      <c r="U225" s="2">
        <v>0.67508094538181496</v>
      </c>
      <c r="V225">
        <f>N225*Regression!$B$23</f>
        <v>1.2650164197118834</v>
      </c>
      <c r="W225">
        <f>M225*Regression!$B$22</f>
        <v>0.34992874109401623</v>
      </c>
      <c r="X225">
        <f>I225*Regression!$B$18</f>
        <v>-3.6632514766371221E-2</v>
      </c>
      <c r="Y225">
        <f>J225*Regression!$B$19</f>
        <v>-7.2844330789933256E-2</v>
      </c>
      <c r="Z225">
        <f>K225*Regression!$B$20</f>
        <v>0.10601060996587147</v>
      </c>
      <c r="AA225">
        <f>L225*Regression!$B$21</f>
        <v>0</v>
      </c>
      <c r="AB225" s="25">
        <f t="shared" si="19"/>
        <v>2.2865598705972818</v>
      </c>
    </row>
    <row r="226" spans="1:28" ht="15.5" x14ac:dyDescent="0.35">
      <c r="A226" t="s">
        <v>7</v>
      </c>
      <c r="B226" t="s">
        <v>13</v>
      </c>
      <c r="C226" t="s">
        <v>16</v>
      </c>
      <c r="D226" t="s">
        <v>15</v>
      </c>
      <c r="E226">
        <v>2</v>
      </c>
      <c r="F226">
        <v>16.27</v>
      </c>
      <c r="G226">
        <v>2.5</v>
      </c>
      <c r="I226">
        <f t="shared" si="15"/>
        <v>0</v>
      </c>
      <c r="J226">
        <f t="shared" si="16"/>
        <v>1</v>
      </c>
      <c r="K226">
        <f t="shared" si="17"/>
        <v>2</v>
      </c>
      <c r="L226">
        <f t="shared" si="18"/>
        <v>0</v>
      </c>
      <c r="M226">
        <v>2</v>
      </c>
      <c r="N226">
        <v>16.27</v>
      </c>
      <c r="O226" s="23">
        <v>2.5</v>
      </c>
      <c r="U226" s="2">
        <v>0.67508094538181496</v>
      </c>
      <c r="V226">
        <f>N226*Regression!$B$23</f>
        <v>1.5336674477430956</v>
      </c>
      <c r="W226">
        <f>M226*Regression!$B$22</f>
        <v>0.34992874109401623</v>
      </c>
      <c r="X226">
        <f>I226*Regression!$B$18</f>
        <v>0</v>
      </c>
      <c r="Y226">
        <f>J226*Regression!$B$19</f>
        <v>-7.2844330789933256E-2</v>
      </c>
      <c r="Z226">
        <f>K226*Regression!$B$20</f>
        <v>0.10601060996587147</v>
      </c>
      <c r="AA226">
        <f>L226*Regression!$B$21</f>
        <v>0</v>
      </c>
      <c r="AB226" s="25">
        <f t="shared" si="19"/>
        <v>2.5918434133948649</v>
      </c>
    </row>
    <row r="227" spans="1:28" ht="15.5" x14ac:dyDescent="0.35">
      <c r="A227" t="s">
        <v>7</v>
      </c>
      <c r="B227" t="s">
        <v>13</v>
      </c>
      <c r="C227" t="s">
        <v>16</v>
      </c>
      <c r="D227" t="s">
        <v>15</v>
      </c>
      <c r="E227">
        <v>2</v>
      </c>
      <c r="F227">
        <v>10.09</v>
      </c>
      <c r="G227">
        <v>2</v>
      </c>
      <c r="I227">
        <f t="shared" si="15"/>
        <v>0</v>
      </c>
      <c r="J227">
        <f t="shared" si="16"/>
        <v>1</v>
      </c>
      <c r="K227">
        <f t="shared" si="17"/>
        <v>2</v>
      </c>
      <c r="L227">
        <f t="shared" si="18"/>
        <v>0</v>
      </c>
      <c r="M227">
        <v>2</v>
      </c>
      <c r="N227">
        <v>10.09</v>
      </c>
      <c r="O227" s="23">
        <v>2</v>
      </c>
      <c r="U227" s="2">
        <v>0.67508094538181496</v>
      </c>
      <c r="V227">
        <f>N227*Regression!$B$23</f>
        <v>0.9511189027490986</v>
      </c>
      <c r="W227">
        <f>M227*Regression!$B$22</f>
        <v>0.34992874109401623</v>
      </c>
      <c r="X227">
        <f>I227*Regression!$B$18</f>
        <v>0</v>
      </c>
      <c r="Y227">
        <f>J227*Regression!$B$19</f>
        <v>-7.2844330789933256E-2</v>
      </c>
      <c r="Z227">
        <f>K227*Regression!$B$20</f>
        <v>0.10601060996587147</v>
      </c>
      <c r="AA227">
        <f>L227*Regression!$B$21</f>
        <v>0</v>
      </c>
      <c r="AB227" s="25">
        <f t="shared" si="19"/>
        <v>2.0092948684008678</v>
      </c>
    </row>
    <row r="228" spans="1:28" ht="15.5" x14ac:dyDescent="0.35">
      <c r="A228" t="s">
        <v>11</v>
      </c>
      <c r="B228" t="s">
        <v>8</v>
      </c>
      <c r="C228" t="s">
        <v>12</v>
      </c>
      <c r="D228" t="s">
        <v>10</v>
      </c>
      <c r="E228">
        <v>4</v>
      </c>
      <c r="F228">
        <v>20.45</v>
      </c>
      <c r="G228">
        <v>3</v>
      </c>
      <c r="I228">
        <f t="shared" si="15"/>
        <v>1</v>
      </c>
      <c r="J228">
        <f t="shared" si="16"/>
        <v>0</v>
      </c>
      <c r="K228">
        <f t="shared" si="17"/>
        <v>3</v>
      </c>
      <c r="L228">
        <f t="shared" si="18"/>
        <v>1</v>
      </c>
      <c r="M228">
        <v>4</v>
      </c>
      <c r="N228">
        <v>20.45</v>
      </c>
      <c r="O228" s="23">
        <v>3</v>
      </c>
      <c r="U228" s="2">
        <v>0.67508094538181496</v>
      </c>
      <c r="V228">
        <f>N228*Regression!$B$23</f>
        <v>1.9276889555222068</v>
      </c>
      <c r="W228">
        <f>M228*Regression!$B$22</f>
        <v>0.69985748218803245</v>
      </c>
      <c r="X228">
        <f>I228*Regression!$B$18</f>
        <v>-3.6632514766371221E-2</v>
      </c>
      <c r="Y228">
        <f>J228*Regression!$B$19</f>
        <v>0</v>
      </c>
      <c r="Z228">
        <f>K228*Regression!$B$20</f>
        <v>0.15901591494880721</v>
      </c>
      <c r="AA228">
        <f>L228*Regression!$B$21</f>
        <v>-0.11600626172099011</v>
      </c>
      <c r="AB228" s="25">
        <f t="shared" si="19"/>
        <v>3.3090045215534998</v>
      </c>
    </row>
    <row r="229" spans="1:28" ht="15.5" x14ac:dyDescent="0.35">
      <c r="A229" t="s">
        <v>11</v>
      </c>
      <c r="B229" t="s">
        <v>8</v>
      </c>
      <c r="C229" t="s">
        <v>12</v>
      </c>
      <c r="D229" t="s">
        <v>10</v>
      </c>
      <c r="E229">
        <v>2</v>
      </c>
      <c r="F229">
        <v>13.28</v>
      </c>
      <c r="G229">
        <v>2.72</v>
      </c>
      <c r="I229">
        <f t="shared" si="15"/>
        <v>1</v>
      </c>
      <c r="J229">
        <f t="shared" si="16"/>
        <v>0</v>
      </c>
      <c r="K229">
        <f t="shared" si="17"/>
        <v>3</v>
      </c>
      <c r="L229">
        <f t="shared" si="18"/>
        <v>1</v>
      </c>
      <c r="M229">
        <v>2</v>
      </c>
      <c r="N229">
        <v>13.28</v>
      </c>
      <c r="O229" s="23">
        <v>2.72</v>
      </c>
      <c r="U229" s="2">
        <v>0.67508094538181496</v>
      </c>
      <c r="V229">
        <f>N229*Regression!$B$23</f>
        <v>1.2518195271068413</v>
      </c>
      <c r="W229">
        <f>M229*Regression!$B$22</f>
        <v>0.34992874109401623</v>
      </c>
      <c r="X229">
        <f>I229*Regression!$B$18</f>
        <v>-3.6632514766371221E-2</v>
      </c>
      <c r="Y229">
        <f>J229*Regression!$B$19</f>
        <v>0</v>
      </c>
      <c r="Z229">
        <f>K229*Regression!$B$20</f>
        <v>0.15901591494880721</v>
      </c>
      <c r="AA229">
        <f>L229*Regression!$B$21</f>
        <v>-0.11600626172099011</v>
      </c>
      <c r="AB229" s="25">
        <f t="shared" si="19"/>
        <v>2.2832063520441181</v>
      </c>
    </row>
    <row r="230" spans="1:28" ht="15.5" x14ac:dyDescent="0.35">
      <c r="A230" t="s">
        <v>7</v>
      </c>
      <c r="B230" t="s">
        <v>13</v>
      </c>
      <c r="C230" t="s">
        <v>12</v>
      </c>
      <c r="D230" t="s">
        <v>10</v>
      </c>
      <c r="E230">
        <v>2</v>
      </c>
      <c r="F230">
        <v>22.12</v>
      </c>
      <c r="G230">
        <v>2.88</v>
      </c>
      <c r="I230">
        <f t="shared" si="15"/>
        <v>0</v>
      </c>
      <c r="J230">
        <f t="shared" si="16"/>
        <v>1</v>
      </c>
      <c r="K230">
        <f t="shared" si="17"/>
        <v>3</v>
      </c>
      <c r="L230">
        <f t="shared" si="18"/>
        <v>1</v>
      </c>
      <c r="M230">
        <v>2</v>
      </c>
      <c r="N230">
        <v>22.12</v>
      </c>
      <c r="O230" s="23">
        <v>2.88</v>
      </c>
      <c r="U230" s="2">
        <v>0.67508094538181496</v>
      </c>
      <c r="V230">
        <f>N230*Regression!$B$23</f>
        <v>2.0851090315966365</v>
      </c>
      <c r="W230">
        <f>M230*Regression!$B$22</f>
        <v>0.34992874109401623</v>
      </c>
      <c r="X230">
        <f>I230*Regression!$B$18</f>
        <v>0</v>
      </c>
      <c r="Y230">
        <f>J230*Regression!$B$19</f>
        <v>-7.2844330789933256E-2</v>
      </c>
      <c r="Z230">
        <f>K230*Regression!$B$20</f>
        <v>0.15901591494880721</v>
      </c>
      <c r="AA230">
        <f>L230*Regression!$B$21</f>
        <v>-0.11600626172099011</v>
      </c>
      <c r="AB230" s="25">
        <f t="shared" si="19"/>
        <v>3.0802840405103513</v>
      </c>
    </row>
    <row r="231" spans="1:28" ht="15.5" x14ac:dyDescent="0.35">
      <c r="A231" t="s">
        <v>11</v>
      </c>
      <c r="B231" t="s">
        <v>13</v>
      </c>
      <c r="C231" t="s">
        <v>12</v>
      </c>
      <c r="D231" t="s">
        <v>10</v>
      </c>
      <c r="E231">
        <v>4</v>
      </c>
      <c r="F231">
        <v>24.01</v>
      </c>
      <c r="G231">
        <v>2</v>
      </c>
      <c r="I231">
        <f t="shared" si="15"/>
        <v>1</v>
      </c>
      <c r="J231">
        <f t="shared" si="16"/>
        <v>1</v>
      </c>
      <c r="K231">
        <f t="shared" si="17"/>
        <v>3</v>
      </c>
      <c r="L231">
        <f t="shared" si="18"/>
        <v>1</v>
      </c>
      <c r="M231">
        <v>4</v>
      </c>
      <c r="N231">
        <v>24.01</v>
      </c>
      <c r="O231" s="23">
        <v>2</v>
      </c>
      <c r="U231" s="2">
        <v>0.67508094538181496</v>
      </c>
      <c r="V231">
        <f>N231*Regression!$B$23</f>
        <v>2.2632670817647038</v>
      </c>
      <c r="W231">
        <f>M231*Regression!$B$22</f>
        <v>0.69985748218803245</v>
      </c>
      <c r="X231">
        <f>I231*Regression!$B$18</f>
        <v>-3.6632514766371221E-2</v>
      </c>
      <c r="Y231">
        <f>J231*Regression!$B$19</f>
        <v>-7.2844330789933256E-2</v>
      </c>
      <c r="Z231">
        <f>K231*Regression!$B$20</f>
        <v>0.15901591494880721</v>
      </c>
      <c r="AA231">
        <f>L231*Regression!$B$21</f>
        <v>-0.11600626172099011</v>
      </c>
      <c r="AB231" s="25">
        <f t="shared" si="19"/>
        <v>3.5717383170060635</v>
      </c>
    </row>
    <row r="232" spans="1:28" ht="15.5" x14ac:dyDescent="0.35">
      <c r="A232" t="s">
        <v>11</v>
      </c>
      <c r="B232" t="s">
        <v>13</v>
      </c>
      <c r="C232" t="s">
        <v>12</v>
      </c>
      <c r="D232" t="s">
        <v>10</v>
      </c>
      <c r="E232">
        <v>3</v>
      </c>
      <c r="F232">
        <v>15.69</v>
      </c>
      <c r="G232">
        <v>3</v>
      </c>
      <c r="I232">
        <f t="shared" si="15"/>
        <v>1</v>
      </c>
      <c r="J232">
        <f t="shared" si="16"/>
        <v>1</v>
      </c>
      <c r="K232">
        <f t="shared" si="17"/>
        <v>3</v>
      </c>
      <c r="L232">
        <f t="shared" si="18"/>
        <v>1</v>
      </c>
      <c r="M232">
        <v>3</v>
      </c>
      <c r="N232">
        <v>15.69</v>
      </c>
      <c r="O232" s="23">
        <v>3</v>
      </c>
      <c r="U232" s="2">
        <v>0.67508094538181496</v>
      </c>
      <c r="V232">
        <f>N232*Regression!$B$23</f>
        <v>1.4789946069507787</v>
      </c>
      <c r="W232">
        <f>M232*Regression!$B$22</f>
        <v>0.52489311164102437</v>
      </c>
      <c r="X232">
        <f>I232*Regression!$B$18</f>
        <v>-3.6632514766371221E-2</v>
      </c>
      <c r="Y232">
        <f>J232*Regression!$B$19</f>
        <v>-7.2844330789933256E-2</v>
      </c>
      <c r="Z232">
        <f>K232*Regression!$B$20</f>
        <v>0.15901591494880721</v>
      </c>
      <c r="AA232">
        <f>L232*Regression!$B$21</f>
        <v>-0.11600626172099011</v>
      </c>
      <c r="AB232" s="25">
        <f t="shared" si="19"/>
        <v>2.6125014716451305</v>
      </c>
    </row>
    <row r="233" spans="1:28" ht="15.5" x14ac:dyDescent="0.35">
      <c r="A233" t="s">
        <v>11</v>
      </c>
      <c r="B233" t="s">
        <v>8</v>
      </c>
      <c r="C233" t="s">
        <v>12</v>
      </c>
      <c r="D233" t="s">
        <v>10</v>
      </c>
      <c r="E233">
        <v>2</v>
      </c>
      <c r="F233">
        <v>11.61</v>
      </c>
      <c r="G233">
        <v>3.39</v>
      </c>
      <c r="I233">
        <f t="shared" si="15"/>
        <v>1</v>
      </c>
      <c r="J233">
        <f t="shared" si="16"/>
        <v>0</v>
      </c>
      <c r="K233">
        <f t="shared" si="17"/>
        <v>3</v>
      </c>
      <c r="L233">
        <f t="shared" si="18"/>
        <v>1</v>
      </c>
      <c r="M233">
        <v>2</v>
      </c>
      <c r="N233">
        <v>11.61</v>
      </c>
      <c r="O233" s="23">
        <v>3.39</v>
      </c>
      <c r="U233" s="2">
        <v>0.67508094538181496</v>
      </c>
      <c r="V233">
        <f>N233*Regression!$B$23</f>
        <v>1.0943994510324118</v>
      </c>
      <c r="W233">
        <f>M233*Regression!$B$22</f>
        <v>0.34992874109401623</v>
      </c>
      <c r="X233">
        <f>I233*Regression!$B$18</f>
        <v>-3.6632514766371221E-2</v>
      </c>
      <c r="Y233">
        <f>J233*Regression!$B$19</f>
        <v>0</v>
      </c>
      <c r="Z233">
        <f>K233*Regression!$B$20</f>
        <v>0.15901591494880721</v>
      </c>
      <c r="AA233">
        <f>L233*Regression!$B$21</f>
        <v>-0.11600626172099011</v>
      </c>
      <c r="AB233" s="25">
        <f t="shared" si="19"/>
        <v>2.1257862759696886</v>
      </c>
    </row>
    <row r="234" spans="1:28" ht="15.5" x14ac:dyDescent="0.35">
      <c r="A234" t="s">
        <v>11</v>
      </c>
      <c r="B234" t="s">
        <v>8</v>
      </c>
      <c r="C234" t="s">
        <v>12</v>
      </c>
      <c r="D234" t="s">
        <v>10</v>
      </c>
      <c r="E234">
        <v>2</v>
      </c>
      <c r="F234">
        <v>10.77</v>
      </c>
      <c r="G234">
        <v>1.47</v>
      </c>
      <c r="I234">
        <f t="shared" si="15"/>
        <v>1</v>
      </c>
      <c r="J234">
        <f t="shared" si="16"/>
        <v>0</v>
      </c>
      <c r="K234">
        <f t="shared" si="17"/>
        <v>3</v>
      </c>
      <c r="L234">
        <f t="shared" si="18"/>
        <v>1</v>
      </c>
      <c r="M234">
        <v>2</v>
      </c>
      <c r="N234">
        <v>10.77</v>
      </c>
      <c r="O234" s="23">
        <v>1.47</v>
      </c>
      <c r="U234" s="2">
        <v>0.67508094538181496</v>
      </c>
      <c r="V234">
        <f>N234*Regression!$B$23</f>
        <v>1.0152180954021597</v>
      </c>
      <c r="W234">
        <f>M234*Regression!$B$22</f>
        <v>0.34992874109401623</v>
      </c>
      <c r="X234">
        <f>I234*Regression!$B$18</f>
        <v>-3.6632514766371221E-2</v>
      </c>
      <c r="Y234">
        <f>J234*Regression!$B$19</f>
        <v>0</v>
      </c>
      <c r="Z234">
        <f>K234*Regression!$B$20</f>
        <v>0.15901591494880721</v>
      </c>
      <c r="AA234">
        <f>L234*Regression!$B$21</f>
        <v>-0.11600626172099011</v>
      </c>
      <c r="AB234" s="25">
        <f t="shared" si="19"/>
        <v>2.0466049203394365</v>
      </c>
    </row>
    <row r="235" spans="1:28" ht="15.5" x14ac:dyDescent="0.35">
      <c r="A235" t="s">
        <v>11</v>
      </c>
      <c r="B235" t="s">
        <v>13</v>
      </c>
      <c r="C235" t="s">
        <v>12</v>
      </c>
      <c r="D235" t="s">
        <v>10</v>
      </c>
      <c r="E235">
        <v>2</v>
      </c>
      <c r="F235">
        <v>15.53</v>
      </c>
      <c r="G235">
        <v>3</v>
      </c>
      <c r="I235">
        <f t="shared" si="15"/>
        <v>1</v>
      </c>
      <c r="J235">
        <f t="shared" si="16"/>
        <v>1</v>
      </c>
      <c r="K235">
        <f t="shared" si="17"/>
        <v>3</v>
      </c>
      <c r="L235">
        <f t="shared" si="18"/>
        <v>1</v>
      </c>
      <c r="M235">
        <v>2</v>
      </c>
      <c r="N235">
        <v>15.53</v>
      </c>
      <c r="O235" s="23">
        <v>3</v>
      </c>
      <c r="U235" s="2">
        <v>0.67508094538181496</v>
      </c>
      <c r="V235">
        <f>N235*Regression!$B$23</f>
        <v>1.4639124439735878</v>
      </c>
      <c r="W235">
        <f>M235*Regression!$B$22</f>
        <v>0.34992874109401623</v>
      </c>
      <c r="X235">
        <f>I235*Regression!$B$18</f>
        <v>-3.6632514766371221E-2</v>
      </c>
      <c r="Y235">
        <f>J235*Regression!$B$19</f>
        <v>-7.2844330789933256E-2</v>
      </c>
      <c r="Z235">
        <f>K235*Regression!$B$20</f>
        <v>0.15901591494880721</v>
      </c>
      <c r="AA235">
        <f>L235*Regression!$B$21</f>
        <v>-0.11600626172099011</v>
      </c>
      <c r="AB235" s="25">
        <f t="shared" si="19"/>
        <v>2.4224549381209313</v>
      </c>
    </row>
    <row r="236" spans="1:28" ht="15.5" x14ac:dyDescent="0.35">
      <c r="A236" t="s">
        <v>11</v>
      </c>
      <c r="B236" t="s">
        <v>8</v>
      </c>
      <c r="C236" t="s">
        <v>12</v>
      </c>
      <c r="D236" t="s">
        <v>10</v>
      </c>
      <c r="E236">
        <v>2</v>
      </c>
      <c r="F236">
        <v>10.07</v>
      </c>
      <c r="G236">
        <v>1.25</v>
      </c>
      <c r="I236">
        <f t="shared" si="15"/>
        <v>1</v>
      </c>
      <c r="J236">
        <f t="shared" si="16"/>
        <v>0</v>
      </c>
      <c r="K236">
        <f t="shared" si="17"/>
        <v>3</v>
      </c>
      <c r="L236">
        <f t="shared" si="18"/>
        <v>1</v>
      </c>
      <c r="M236">
        <v>2</v>
      </c>
      <c r="N236">
        <v>10.07</v>
      </c>
      <c r="O236" s="23">
        <v>1.25</v>
      </c>
      <c r="U236" s="2">
        <v>0.67508094538181496</v>
      </c>
      <c r="V236">
        <f>N236*Regression!$B$23</f>
        <v>0.9492336323769498</v>
      </c>
      <c r="W236">
        <f>M236*Regression!$B$22</f>
        <v>0.34992874109401623</v>
      </c>
      <c r="X236">
        <f>I236*Regression!$B$18</f>
        <v>-3.6632514766371221E-2</v>
      </c>
      <c r="Y236">
        <f>J236*Regression!$B$19</f>
        <v>0</v>
      </c>
      <c r="Z236">
        <f>K236*Regression!$B$20</f>
        <v>0.15901591494880721</v>
      </c>
      <c r="AA236">
        <f>L236*Regression!$B$21</f>
        <v>-0.11600626172099011</v>
      </c>
      <c r="AB236" s="25">
        <f t="shared" si="19"/>
        <v>1.9806204573142268</v>
      </c>
    </row>
    <row r="237" spans="1:28" ht="15.5" x14ac:dyDescent="0.35">
      <c r="A237" t="s">
        <v>11</v>
      </c>
      <c r="B237" t="s">
        <v>13</v>
      </c>
      <c r="C237" t="s">
        <v>12</v>
      </c>
      <c r="D237" t="s">
        <v>10</v>
      </c>
      <c r="E237">
        <v>2</v>
      </c>
      <c r="F237">
        <v>12.6</v>
      </c>
      <c r="G237">
        <v>1</v>
      </c>
      <c r="I237">
        <f t="shared" si="15"/>
        <v>1</v>
      </c>
      <c r="J237">
        <f t="shared" si="16"/>
        <v>1</v>
      </c>
      <c r="K237">
        <f t="shared" si="17"/>
        <v>3</v>
      </c>
      <c r="L237">
        <f t="shared" si="18"/>
        <v>1</v>
      </c>
      <c r="M237">
        <v>2</v>
      </c>
      <c r="N237">
        <v>12.6</v>
      </c>
      <c r="O237" s="23">
        <v>1</v>
      </c>
      <c r="U237" s="2">
        <v>0.67508094538181496</v>
      </c>
      <c r="V237">
        <f>N237*Regression!$B$23</f>
        <v>1.1877203344537803</v>
      </c>
      <c r="W237">
        <f>M237*Regression!$B$22</f>
        <v>0.34992874109401623</v>
      </c>
      <c r="X237">
        <f>I237*Regression!$B$18</f>
        <v>-3.6632514766371221E-2</v>
      </c>
      <c r="Y237">
        <f>J237*Regression!$B$19</f>
        <v>-7.2844330789933256E-2</v>
      </c>
      <c r="Z237">
        <f>K237*Regression!$B$20</f>
        <v>0.15901591494880721</v>
      </c>
      <c r="AA237">
        <f>L237*Regression!$B$21</f>
        <v>-0.11600626172099011</v>
      </c>
      <c r="AB237" s="25">
        <f t="shared" si="19"/>
        <v>2.1462628286011238</v>
      </c>
    </row>
    <row r="238" spans="1:28" ht="15.5" x14ac:dyDescent="0.35">
      <c r="A238" t="s">
        <v>11</v>
      </c>
      <c r="B238" t="s">
        <v>13</v>
      </c>
      <c r="C238" t="s">
        <v>12</v>
      </c>
      <c r="D238" t="s">
        <v>10</v>
      </c>
      <c r="E238">
        <v>2</v>
      </c>
      <c r="F238">
        <v>32.83</v>
      </c>
      <c r="G238">
        <v>1.17</v>
      </c>
      <c r="I238">
        <f t="shared" si="15"/>
        <v>1</v>
      </c>
      <c r="J238">
        <f t="shared" si="16"/>
        <v>1</v>
      </c>
      <c r="K238">
        <f t="shared" si="17"/>
        <v>3</v>
      </c>
      <c r="L238">
        <f t="shared" si="18"/>
        <v>1</v>
      </c>
      <c r="M238">
        <v>2</v>
      </c>
      <c r="N238">
        <v>32.83</v>
      </c>
      <c r="O238" s="23">
        <v>1.17</v>
      </c>
      <c r="U238" s="2">
        <v>0.67508094538181496</v>
      </c>
      <c r="V238">
        <f>N238*Regression!$B$23</f>
        <v>3.0946713158823496</v>
      </c>
      <c r="W238">
        <f>M238*Regression!$B$22</f>
        <v>0.34992874109401623</v>
      </c>
      <c r="X238">
        <f>I238*Regression!$B$18</f>
        <v>-3.6632514766371221E-2</v>
      </c>
      <c r="Y238">
        <f>J238*Regression!$B$19</f>
        <v>-7.2844330789933256E-2</v>
      </c>
      <c r="Z238">
        <f>K238*Regression!$B$20</f>
        <v>0.15901591494880721</v>
      </c>
      <c r="AA238">
        <f>L238*Regression!$B$21</f>
        <v>-0.11600626172099011</v>
      </c>
      <c r="AB238" s="25">
        <f t="shared" si="19"/>
        <v>4.0532138100296944</v>
      </c>
    </row>
    <row r="239" spans="1:28" ht="15.5" x14ac:dyDescent="0.35">
      <c r="A239" t="s">
        <v>7</v>
      </c>
      <c r="B239" t="s">
        <v>8</v>
      </c>
      <c r="C239" t="s">
        <v>12</v>
      </c>
      <c r="D239" t="s">
        <v>10</v>
      </c>
      <c r="E239">
        <v>3</v>
      </c>
      <c r="F239">
        <v>35.83</v>
      </c>
      <c r="G239">
        <v>4.67</v>
      </c>
      <c r="I239">
        <f t="shared" si="15"/>
        <v>0</v>
      </c>
      <c r="J239">
        <f t="shared" si="16"/>
        <v>0</v>
      </c>
      <c r="K239">
        <f t="shared" si="17"/>
        <v>3</v>
      </c>
      <c r="L239">
        <f t="shared" si="18"/>
        <v>1</v>
      </c>
      <c r="M239">
        <v>3</v>
      </c>
      <c r="N239">
        <v>35.83</v>
      </c>
      <c r="O239" s="23">
        <v>4.67</v>
      </c>
      <c r="U239" s="2">
        <v>0.67508094538181496</v>
      </c>
      <c r="V239">
        <f>N239*Regression!$B$23</f>
        <v>3.377461871704678</v>
      </c>
      <c r="W239">
        <f>M239*Regression!$B$22</f>
        <v>0.52489311164102437</v>
      </c>
      <c r="X239">
        <f>I239*Regression!$B$18</f>
        <v>0</v>
      </c>
      <c r="Y239">
        <f>J239*Regression!$B$19</f>
        <v>0</v>
      </c>
      <c r="Z239">
        <f>K239*Regression!$B$20</f>
        <v>0.15901591494880721</v>
      </c>
      <c r="AA239">
        <f>L239*Regression!$B$21</f>
        <v>-0.11600626172099011</v>
      </c>
      <c r="AB239" s="25">
        <f t="shared" si="19"/>
        <v>4.6204455819553347</v>
      </c>
    </row>
    <row r="240" spans="1:28" ht="15.5" x14ac:dyDescent="0.35">
      <c r="A240" t="s">
        <v>11</v>
      </c>
      <c r="B240" t="s">
        <v>8</v>
      </c>
      <c r="C240" t="s">
        <v>12</v>
      </c>
      <c r="D240" t="s">
        <v>10</v>
      </c>
      <c r="E240">
        <v>3</v>
      </c>
      <c r="F240">
        <v>29.03</v>
      </c>
      <c r="G240">
        <v>5.92</v>
      </c>
      <c r="I240">
        <f t="shared" si="15"/>
        <v>1</v>
      </c>
      <c r="J240">
        <f t="shared" si="16"/>
        <v>0</v>
      </c>
      <c r="K240">
        <f t="shared" si="17"/>
        <v>3</v>
      </c>
      <c r="L240">
        <f t="shared" si="18"/>
        <v>1</v>
      </c>
      <c r="M240">
        <v>3</v>
      </c>
      <c r="N240">
        <v>29.03</v>
      </c>
      <c r="O240" s="23">
        <v>5.92</v>
      </c>
      <c r="U240" s="2">
        <v>0.67508094538181496</v>
      </c>
      <c r="V240">
        <f>N240*Regression!$B$23</f>
        <v>2.7364699451740671</v>
      </c>
      <c r="W240">
        <f>M240*Regression!$B$22</f>
        <v>0.52489311164102437</v>
      </c>
      <c r="X240">
        <f>I240*Regression!$B$18</f>
        <v>-3.6632514766371221E-2</v>
      </c>
      <c r="Y240">
        <f>J240*Regression!$B$19</f>
        <v>0</v>
      </c>
      <c r="Z240">
        <f>K240*Regression!$B$20</f>
        <v>0.15901591494880721</v>
      </c>
      <c r="AA240">
        <f>L240*Regression!$B$21</f>
        <v>-0.11600626172099011</v>
      </c>
      <c r="AB240" s="25">
        <f t="shared" si="19"/>
        <v>3.942821140658352</v>
      </c>
    </row>
    <row r="241" spans="1:28" ht="15.5" x14ac:dyDescent="0.35">
      <c r="A241" t="s">
        <v>7</v>
      </c>
      <c r="B241" t="s">
        <v>13</v>
      </c>
      <c r="C241" t="s">
        <v>12</v>
      </c>
      <c r="D241" t="s">
        <v>10</v>
      </c>
      <c r="E241">
        <v>2</v>
      </c>
      <c r="F241">
        <v>27.18</v>
      </c>
      <c r="G241">
        <v>2</v>
      </c>
      <c r="I241">
        <f t="shared" si="15"/>
        <v>0</v>
      </c>
      <c r="J241">
        <f t="shared" si="16"/>
        <v>1</v>
      </c>
      <c r="K241">
        <f t="shared" si="17"/>
        <v>3</v>
      </c>
      <c r="L241">
        <f t="shared" si="18"/>
        <v>1</v>
      </c>
      <c r="M241">
        <v>2</v>
      </c>
      <c r="N241">
        <v>27.18</v>
      </c>
      <c r="O241" s="23">
        <v>2</v>
      </c>
      <c r="U241" s="2">
        <v>0.67508094538181496</v>
      </c>
      <c r="V241">
        <f>N241*Regression!$B$23</f>
        <v>2.5620824357502974</v>
      </c>
      <c r="W241">
        <f>M241*Regression!$B$22</f>
        <v>0.34992874109401623</v>
      </c>
      <c r="X241">
        <f>I241*Regression!$B$18</f>
        <v>0</v>
      </c>
      <c r="Y241">
        <f>J241*Regression!$B$19</f>
        <v>-7.2844330789933256E-2</v>
      </c>
      <c r="Z241">
        <f>K241*Regression!$B$20</f>
        <v>0.15901591494880721</v>
      </c>
      <c r="AA241">
        <f>L241*Regression!$B$21</f>
        <v>-0.11600626172099011</v>
      </c>
      <c r="AB241" s="25">
        <f t="shared" si="19"/>
        <v>3.5572574446640122</v>
      </c>
    </row>
    <row r="242" spans="1:28" ht="15.5" x14ac:dyDescent="0.35">
      <c r="A242" t="s">
        <v>11</v>
      </c>
      <c r="B242" t="s">
        <v>13</v>
      </c>
      <c r="C242" t="s">
        <v>12</v>
      </c>
      <c r="D242" t="s">
        <v>10</v>
      </c>
      <c r="E242">
        <v>2</v>
      </c>
      <c r="F242">
        <v>22.67</v>
      </c>
      <c r="G242">
        <v>2</v>
      </c>
      <c r="I242">
        <f t="shared" si="15"/>
        <v>1</v>
      </c>
      <c r="J242">
        <f t="shared" si="16"/>
        <v>1</v>
      </c>
      <c r="K242">
        <f t="shared" si="17"/>
        <v>3</v>
      </c>
      <c r="L242">
        <f t="shared" si="18"/>
        <v>1</v>
      </c>
      <c r="M242">
        <v>2</v>
      </c>
      <c r="N242">
        <v>22.67</v>
      </c>
      <c r="O242" s="23">
        <v>2</v>
      </c>
      <c r="U242" s="2">
        <v>0.67508094538181496</v>
      </c>
      <c r="V242">
        <f>N242*Regression!$B$23</f>
        <v>2.1369539668307302</v>
      </c>
      <c r="W242">
        <f>M242*Regression!$B$22</f>
        <v>0.34992874109401623</v>
      </c>
      <c r="X242">
        <f>I242*Regression!$B$18</f>
        <v>-3.6632514766371221E-2</v>
      </c>
      <c r="Y242">
        <f>J242*Regression!$B$19</f>
        <v>-7.2844330789933256E-2</v>
      </c>
      <c r="Z242">
        <f>K242*Regression!$B$20</f>
        <v>0.15901591494880721</v>
      </c>
      <c r="AA242">
        <f>L242*Regression!$B$21</f>
        <v>-0.11600626172099011</v>
      </c>
      <c r="AB242" s="25">
        <f t="shared" si="19"/>
        <v>3.0954964609780737</v>
      </c>
    </row>
    <row r="243" spans="1:28" ht="15.5" x14ac:dyDescent="0.35">
      <c r="A243" t="s">
        <v>11</v>
      </c>
      <c r="B243" t="s">
        <v>8</v>
      </c>
      <c r="C243" t="s">
        <v>12</v>
      </c>
      <c r="D243" t="s">
        <v>10</v>
      </c>
      <c r="E243">
        <v>2</v>
      </c>
      <c r="F243">
        <v>17.82</v>
      </c>
      <c r="G243">
        <v>1.75</v>
      </c>
      <c r="I243">
        <f t="shared" si="15"/>
        <v>1</v>
      </c>
      <c r="J243">
        <f t="shared" si="16"/>
        <v>0</v>
      </c>
      <c r="K243">
        <f t="shared" si="17"/>
        <v>3</v>
      </c>
      <c r="L243">
        <f t="shared" si="18"/>
        <v>1</v>
      </c>
      <c r="M243">
        <v>2</v>
      </c>
      <c r="N243">
        <v>17.82</v>
      </c>
      <c r="O243" s="23">
        <v>1.75</v>
      </c>
      <c r="U243" s="2">
        <v>0.67508094538181496</v>
      </c>
      <c r="V243">
        <f>N243*Regression!$B$23</f>
        <v>1.6797759015846321</v>
      </c>
      <c r="W243">
        <f>M243*Regression!$B$22</f>
        <v>0.34992874109401623</v>
      </c>
      <c r="X243">
        <f>I243*Regression!$B$18</f>
        <v>-3.6632514766371221E-2</v>
      </c>
      <c r="Y243">
        <f>J243*Regression!$B$19</f>
        <v>0</v>
      </c>
      <c r="Z243">
        <f>K243*Regression!$B$20</f>
        <v>0.15901591494880721</v>
      </c>
      <c r="AA243">
        <f>L243*Regression!$B$21</f>
        <v>-0.11600626172099011</v>
      </c>
      <c r="AB243" s="25">
        <f t="shared" si="19"/>
        <v>2.7111627265219087</v>
      </c>
    </row>
    <row r="244" spans="1:28" ht="15.5" x14ac:dyDescent="0.35">
      <c r="A244" t="s">
        <v>7</v>
      </c>
      <c r="B244" t="s">
        <v>8</v>
      </c>
      <c r="C244" t="s">
        <v>14</v>
      </c>
      <c r="D244" t="s">
        <v>10</v>
      </c>
      <c r="E244">
        <v>2</v>
      </c>
      <c r="F244">
        <v>18.78</v>
      </c>
      <c r="G244">
        <v>3</v>
      </c>
      <c r="I244">
        <f t="shared" si="15"/>
        <v>0</v>
      </c>
      <c r="J244">
        <f t="shared" si="16"/>
        <v>0</v>
      </c>
      <c r="K244">
        <f t="shared" si="17"/>
        <v>1</v>
      </c>
      <c r="L244">
        <f t="shared" si="18"/>
        <v>1</v>
      </c>
      <c r="M244">
        <v>2</v>
      </c>
      <c r="N244">
        <v>18.78</v>
      </c>
      <c r="O244" s="23">
        <v>3</v>
      </c>
      <c r="U244" s="2">
        <v>0.67508094538181496</v>
      </c>
      <c r="V244">
        <f>N244*Regression!$B$23</f>
        <v>1.7702688794477774</v>
      </c>
      <c r="W244">
        <f>M244*Regression!$B$22</f>
        <v>0.34992874109401623</v>
      </c>
      <c r="X244">
        <f>I244*Regression!$B$18</f>
        <v>0</v>
      </c>
      <c r="Y244">
        <f>J244*Regression!$B$19</f>
        <v>0</v>
      </c>
      <c r="Z244">
        <f>K244*Regression!$B$20</f>
        <v>5.3005304982935736E-2</v>
      </c>
      <c r="AA244">
        <f>L244*Regression!$B$21</f>
        <v>-0.11600626172099011</v>
      </c>
      <c r="AB24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chart</vt:lpstr>
      <vt:lpstr>Table</vt:lpstr>
      <vt:lpstr>Regression</vt:lpstr>
      <vt:lpstr>tips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hp</cp:lastModifiedBy>
  <cp:revision/>
  <dcterms:created xsi:type="dcterms:W3CDTF">2021-10-26T16:10:41Z</dcterms:created>
  <dcterms:modified xsi:type="dcterms:W3CDTF">2026-03-10T19:40:11Z</dcterms:modified>
  <cp:category/>
  <cp:contentStatus/>
</cp:coreProperties>
</file>